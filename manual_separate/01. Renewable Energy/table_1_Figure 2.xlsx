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rebello\Box\PHYS 123 Labs\01. Renewable Energy\"/>
    </mc:Choice>
  </mc:AlternateContent>
  <xr:revisionPtr revIDLastSave="0" documentId="13_ncr:1_{33288FF8-7464-4BAE-BED9-9954BFD5BB8B}" xr6:coauthVersionLast="47" xr6:coauthVersionMax="47" xr10:uidLastSave="{00000000-0000-0000-0000-000000000000}"/>
  <bookViews>
    <workbookView xWindow="-90" yWindow="0" windowWidth="19380" windowHeight="20970" activeTab="2" xr2:uid="{0A73BD1D-CFE8-40B0-B733-CEBA9DCA4527}"/>
  </bookViews>
  <sheets>
    <sheet name="Table_1_01" sheetId="1" r:id="rId1"/>
    <sheet name="Sheet1" sheetId="2" r:id="rId2"/>
    <sheet name="Sheet2"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Table_1_01!$1:$4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 i="3" l="1"/>
  <c r="R4" i="3"/>
  <c r="AE4" i="3"/>
  <c r="AD4" i="3"/>
  <c r="Y4" i="3"/>
  <c r="X4" i="3"/>
  <c r="W4" i="3"/>
  <c r="V4" i="3"/>
  <c r="U4" i="3"/>
  <c r="T4" i="3"/>
  <c r="S4" i="3"/>
  <c r="AF3" i="3"/>
  <c r="AC4" i="3"/>
  <c r="AB4" i="3"/>
  <c r="AA4" i="3"/>
  <c r="B3" i="3"/>
  <c r="AE3" i="3" l="1"/>
</calcChain>
</file>

<file path=xl/sharedStrings.xml><?xml version="1.0" encoding="utf-8"?>
<sst xmlns="http://schemas.openxmlformats.org/spreadsheetml/2006/main" count="163" uniqueCount="61">
  <si>
    <t>Table 1.1. Net Generation by Energy Source:  Total (All Sectors), 2015-October 2025</t>
  </si>
  <si>
    <t>(Thousand Megawatthours)</t>
  </si>
  <si>
    <t/>
  </si>
  <si>
    <t>Generation at Utility Scale Facilities</t>
  </si>
  <si>
    <t>Small Scale Generation</t>
  </si>
  <si>
    <t>Net Generation From Utility and Small Scale Facilities</t>
  </si>
  <si>
    <t>Period</t>
  </si>
  <si>
    <t>Coal</t>
  </si>
  <si>
    <t>Petroleum
Liquids</t>
  </si>
  <si>
    <t>Petroleum
Coke</t>
  </si>
  <si>
    <t>Natural
Gas</t>
  </si>
  <si>
    <t>Other
Fossil
Gas</t>
  </si>
  <si>
    <t>Nuclear</t>
  </si>
  <si>
    <t>Hydroelectric
Conventional</t>
  </si>
  <si>
    <t>Solar</t>
  </si>
  <si>
    <t>Renewable
Sources
Excluding
Hydroelectric and Solar</t>
  </si>
  <si>
    <t>Hydroelectric
Pumped
Storage</t>
  </si>
  <si>
    <t>Other</t>
  </si>
  <si>
    <t>Total Generation at Utility Scale Facilities</t>
  </si>
  <si>
    <t>Estimated Solar Photovoltaic</t>
  </si>
  <si>
    <t>Estimated Total Solar Photovoltaic</t>
  </si>
  <si>
    <t>Estimated Total Solar</t>
  </si>
  <si>
    <t>Annual Totals</t>
  </si>
  <si>
    <t>Year 2023</t>
  </si>
  <si>
    <t>January</t>
  </si>
  <si>
    <t>February</t>
  </si>
  <si>
    <t>March</t>
  </si>
  <si>
    <t>April</t>
  </si>
  <si>
    <t>May</t>
  </si>
  <si>
    <t>June</t>
  </si>
  <si>
    <t>July</t>
  </si>
  <si>
    <t>August</t>
  </si>
  <si>
    <t>Sept</t>
  </si>
  <si>
    <t>October</t>
  </si>
  <si>
    <t>November</t>
  </si>
  <si>
    <t>December</t>
  </si>
  <si>
    <t>Year 2024</t>
  </si>
  <si>
    <t>Year 2025</t>
  </si>
  <si>
    <t>Year to Date</t>
  </si>
  <si>
    <t>Rolling 12 Months Ending in October</t>
  </si>
  <si>
    <t>Coal includes anthracite, bituminous, subbituminous, lignite, and waste coal; synthetic coal and refined coal; and beginning in 2011, coal-derived synthesis gas. Prior to 2011 coal-derived synthesis gas was included in Other Fossil Gas.
Petroleum Liquids includes distillate and residual fuel oils, jet fuel, kerosene, waste oil, and beginning in 2011, propane. Prior to 2011 propane was included in Other Fossil Gas.
Petroleum Coke includes petroleum coke-derived synthesis gas. Prior to 2011, petroleum coke-derived synthesis gas was included in Other Fossil Gas.
Other Fossil Gas includes gaseous propane, blast furnace gas, other manufactured and waste gases derived from fossil fuels other than hydrogen.
See the Technical Notes for fuel conversion factors.
Renewable Sources include wood, black liquor, other wood waste, biogenic municipal solid waste, landfill gas, sludge waste, agriculture byproducts, other biomass, geothermal, solar thermal, photovoltaic energy, and wind.
Other includes hydrogen, non-biogenic municipal solid waste, batteries,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2024 and prior years are final. Values for 2025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</si>
  <si>
    <t>Table 1.1.A. Net Generation from Renewable Sources:  Total (All Sectors), 2015-October 2025</t>
  </si>
  <si>
    <t>Generation From Utility and Small Scale Facilities</t>
  </si>
  <si>
    <t>Wind</t>
  </si>
  <si>
    <t>Solar
Photovoltaic</t>
  </si>
  <si>
    <t>Solar
Thermal</t>
  </si>
  <si>
    <t>Wood and
Wood-Derived
Fuels</t>
  </si>
  <si>
    <t>Landfill
Gas</t>
  </si>
  <si>
    <t>Biogenic
Municipal
Solid Waste</t>
  </si>
  <si>
    <t>Other Waste Biomass</t>
  </si>
  <si>
    <t>Geothermal</t>
  </si>
  <si>
    <t>Conventional
Hydroelectric</t>
  </si>
  <si>
    <t>Total Renewable Generation at Utility Scale Facilities</t>
  </si>
  <si>
    <t>Wood and Wood-derived fuels include wood/wood waste solids (including paper pellets, railroad ties, utility poles, wood chips, bark, and wood waste solids), wood waste liquids (red liquor, sludge wood, spent sulfite liquor, and other wood-based liquids), and black liquor.
Other Waste Biomass includes sludge waste, agricultural byproducts, other biomass solids, other biomass liquids, and other biomass gases (including digester gases, methane, and other biomass gases).
Notes: Beginning with 2001 data, non-biogenic municipal solid waste and tire-derived fuels are reclassified as non-renewable energy sources and included in Other. Biogenic municipal solid waste is included in Other Renewable Sources.
See Glossary for definitions. Values for 2024 and prior years are final. Values for 2025 are preliminary. See Technical Notes for a discussion of the sample design for the Form EIA-923 and predecessor forms.Totals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</si>
  <si>
    <t>(Thousand Megawatthours) source: https://www.eia.gov/electricity/monthly/</t>
  </si>
  <si>
    <t>Biomass</t>
  </si>
  <si>
    <t>Petroleum</t>
  </si>
  <si>
    <t>Hydroelectric</t>
  </si>
  <si>
    <t>Natural Gas</t>
  </si>
  <si>
    <t>Other Fossil Gas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</si>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</sst>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3" borderId="0" xfId="0" applyFill="1"/>
    <xf numFmtId="0" fontId="19" fillId="35" borderId="10" xfId="0" applyFont="1" applyFill="1" applyBorder="1" applyAlignment="1">
      <alignment horizontal="center" wrapText="1"/>
    </xf>
    <xf numFmtId="3" fontId="19" fillId="35" borderId="10" xfId="0" applyNumberFormat="1" applyFont="1" applyFill="1" applyBorder="1" applyAlignment="1">
      <alignment horizontal="right" wrapText="1"/>
    </xf>
    <xf numFmtId="0" fontId="18" fillId="0" borderId="10" xfId="0" applyFont="1" applyBorder="1" applyAlignment="1">
      <alignment horizontal="right" wrapText="1"/>
    </xf>
    <xf numFmtId="3" fontId="18" fillId="0" borderId="10" xfId="0" applyNumberFormat="1" applyFont="1" applyBorder="1" applyAlignment="1">
      <alignment horizontal="right" wrapText="1"/>
    </xf>
    <xf numFmtId="0" fontId="18" fillId="36" borderId="0" xfId="0" applyFont="1" applyFill="1" applyAlignment="1">
      <alignment horizontal="left" wrapText="1"/>
    </xf>
    <xf numFmtId="0" fontId="20" fillId="34" borderId="0" xfId="0" applyFont="1" applyFill="1" applyAlignment="1">
      <alignment horizontal="left" wrapText="1"/>
    </xf>
    <xf numFmtId="0" fontId="21" fillId="34" borderId="0" xfId="0" applyFont="1" applyFill="1" applyAlignment="1">
      <alignment horizontal="left" wrapText="1"/>
    </xf>
    <xf numFmtId="0" fontId="19" fillId="35" borderId="11" xfId="0" applyFont="1" applyFill="1" applyBorder="1" applyAlignment="1">
      <alignment horizontal="center" wrapText="1"/>
    </xf>
    <xf numFmtId="0" fontId="19" fillId="35" borderId="13" xfId="0" applyFont="1" applyFill="1" applyBorder="1" applyAlignment="1">
      <alignment horizontal="center" wrapText="1"/>
    </xf>
    <xf numFmtId="0" fontId="19" fillId="35" borderId="12" xfId="0" applyFont="1" applyFill="1" applyBorder="1" applyAlignment="1">
      <alignment horizontal="center" wrapText="1"/>
    </xf>
    <xf numFmtId="0" fontId="16" fillId="0" borderId="0" xfId="0" applyFont="1" applyAlignment="1">
      <alignment wrapText="1"/>
    </xf>
    <xf numFmtId="0" fontId="0" fillId="0" borderId="0" xfId="0" applyAlignment="1">
      <alignment wrapTex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99694"/>
      <color rgb="FF8064A2"/>
      <color rgb="FF95B3D7"/>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40100964922316E-2"/>
          <c:y val="9.9492065610442756E-2"/>
          <c:w val="0.83463613448583129"/>
          <c:h val="0.80101586877911446"/>
        </c:manualLayout>
      </c:layout>
      <c:ofPieChart>
        <c:ofPieType val="bar"/>
        <c:varyColors val="1"/>
        <c:ser>
          <c:idx val="0"/>
          <c:order val="0"/>
          <c:dPt>
            <c:idx val="0"/>
            <c:bubble3D val="0"/>
            <c:spPr>
              <a:solidFill>
                <a:srgbClr val="8064A2"/>
              </a:solidFill>
              <a:ln w="19050">
                <a:noFill/>
              </a:ln>
              <a:effectLst/>
            </c:spPr>
            <c:extLst>
              <c:ext xmlns:c16="http://schemas.microsoft.com/office/drawing/2014/chart" uri="{C3380CC4-5D6E-409C-BE32-E72D297353CC}">
                <c16:uniqueId val="{0000000B-2B7C-457E-90B0-08028E4D1342}"/>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A-2B7C-457E-90B0-08028E4D1342}"/>
              </c:ext>
            </c:extLst>
          </c:dPt>
          <c:dPt>
            <c:idx val="2"/>
            <c:bubble3D val="0"/>
            <c:spPr>
              <a:solidFill>
                <a:srgbClr val="C0504D"/>
              </a:solidFill>
              <a:ln w="19050">
                <a:solidFill>
                  <a:schemeClr val="lt1"/>
                </a:solidFill>
              </a:ln>
              <a:effectLst/>
            </c:spPr>
            <c:extLst>
              <c:ext xmlns:c16="http://schemas.microsoft.com/office/drawing/2014/chart" uri="{C3380CC4-5D6E-409C-BE32-E72D297353CC}">
                <c16:uniqueId val="{00000008-2B7C-457E-90B0-08028E4D1342}"/>
              </c:ext>
            </c:extLst>
          </c:dPt>
          <c:dPt>
            <c:idx val="3"/>
            <c:bubble3D val="0"/>
            <c:spPr>
              <a:solidFill>
                <a:schemeClr val="accent4"/>
              </a:solidFill>
              <a:ln w="19050">
                <a:noFill/>
              </a:ln>
              <a:effectLst/>
            </c:spPr>
            <c:extLst>
              <c:ext xmlns:c16="http://schemas.microsoft.com/office/drawing/2014/chart" uri="{C3380CC4-5D6E-409C-BE32-E72D297353CC}">
                <c16:uniqueId val="{0000000C-2B7C-457E-90B0-08028E4D1342}"/>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2B7C-457E-90B0-08028E4D1342}"/>
              </c:ext>
            </c:extLst>
          </c:dPt>
          <c:dPt>
            <c:idx val="5"/>
            <c:bubble3D val="0"/>
            <c:spPr>
              <a:solidFill>
                <a:srgbClr val="95B3D7"/>
              </a:solidFill>
              <a:ln w="19050">
                <a:noFill/>
              </a:ln>
              <a:effectLst/>
            </c:spPr>
            <c:extLst>
              <c:ext xmlns:c16="http://schemas.microsoft.com/office/drawing/2014/chart" uri="{C3380CC4-5D6E-409C-BE32-E72D297353CC}">
                <c16:uniqueId val="{00000007-2B7C-457E-90B0-08028E4D1342}"/>
              </c:ext>
            </c:extLst>
          </c:dPt>
          <c:dPt>
            <c:idx val="6"/>
            <c:bubble3D val="0"/>
            <c:spPr>
              <a:solidFill>
                <a:srgbClr val="D99694"/>
              </a:solidFill>
              <a:ln w="19050">
                <a:noFill/>
              </a:ln>
              <a:effectLst/>
            </c:spPr>
            <c:extLst>
              <c:ext xmlns:c16="http://schemas.microsoft.com/office/drawing/2014/chart" uri="{C3380CC4-5D6E-409C-BE32-E72D297353CC}">
                <c16:uniqueId val="{00000004-2B7C-457E-90B0-08028E4D1342}"/>
              </c:ext>
            </c:extLst>
          </c:dPt>
          <c:dPt>
            <c:idx val="7"/>
            <c:bubble3D val="0"/>
            <c:spPr>
              <a:solidFill>
                <a:schemeClr val="accent1">
                  <a:lumMod val="40000"/>
                  <a:lumOff val="60000"/>
                </a:schemeClr>
              </a:solidFill>
              <a:ln w="19050">
                <a:noFill/>
              </a:ln>
              <a:effectLst/>
            </c:spPr>
            <c:extLst>
              <c:ext xmlns:c16="http://schemas.microsoft.com/office/drawing/2014/chart" uri="{C3380CC4-5D6E-409C-BE32-E72D297353CC}">
                <c16:uniqueId val="{00000003-2B7C-457E-90B0-08028E4D1342}"/>
              </c:ext>
            </c:extLst>
          </c:dPt>
          <c:dPt>
            <c:idx val="8"/>
            <c:bubble3D val="0"/>
            <c:spPr>
              <a:solidFill>
                <a:schemeClr val="accent2">
                  <a:lumMod val="60000"/>
                  <a:lumOff val="40000"/>
                </a:schemeClr>
              </a:solidFill>
              <a:ln w="19050">
                <a:noFill/>
              </a:ln>
              <a:effectLst/>
            </c:spPr>
            <c:extLst>
              <c:ext xmlns:c16="http://schemas.microsoft.com/office/drawing/2014/chart" uri="{C3380CC4-5D6E-409C-BE32-E72D297353CC}">
                <c16:uniqueId val="{00000002-2B7C-457E-90B0-08028E4D1342}"/>
              </c:ext>
            </c:extLst>
          </c:dPt>
          <c:dPt>
            <c:idx val="9"/>
            <c:bubble3D val="0"/>
            <c:spPr>
              <a:solidFill>
                <a:schemeClr val="accent6">
                  <a:lumMod val="60000"/>
                  <a:lumOff val="40000"/>
                </a:schemeClr>
              </a:solidFill>
              <a:ln w="19050">
                <a:noFill/>
              </a:ln>
              <a:effectLst/>
            </c:spPr>
            <c:extLst>
              <c:ext xmlns:c16="http://schemas.microsoft.com/office/drawing/2014/chart" uri="{C3380CC4-5D6E-409C-BE32-E72D297353CC}">
                <c16:uniqueId val="{00000001-2B7C-457E-90B0-08028E4D1342}"/>
              </c:ext>
            </c:extLst>
          </c:dPt>
          <c:dPt>
            <c:idx val="10"/>
            <c:bubble3D val="0"/>
            <c:explosion val="6"/>
            <c:spPr>
              <a:solidFill>
                <a:schemeClr val="accent6">
                  <a:lumMod val="75000"/>
                </a:schemeClr>
              </a:solidFill>
              <a:ln w="19050">
                <a:noFill/>
              </a:ln>
              <a:effectLst/>
            </c:spPr>
            <c:extLst>
              <c:ext xmlns:c16="http://schemas.microsoft.com/office/drawing/2014/chart" uri="{C3380CC4-5D6E-409C-BE32-E72D297353CC}">
                <c16:uniqueId val="{00000006-2B7C-457E-90B0-08028E4D1342}"/>
              </c:ext>
            </c:extLst>
          </c:dPt>
          <c:dLbls>
            <c:dLbl>
              <c:idx val="1"/>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A-2B7C-457E-90B0-08028E4D1342}"/>
                </c:ext>
              </c:extLst>
            </c:dLbl>
            <c:dLbl>
              <c:idx val="2"/>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8-2B7C-457E-90B0-08028E4D1342}"/>
                </c:ext>
              </c:extLst>
            </c:dLbl>
            <c:dLbl>
              <c:idx val="4"/>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2B7C-457E-90B0-08028E4D1342}"/>
                </c:ext>
              </c:extLst>
            </c:dLbl>
            <c:dLbl>
              <c:idx val="5"/>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B7C-457E-90B0-08028E4D1342}"/>
                </c:ext>
              </c:extLst>
            </c:dLbl>
            <c:dLbl>
              <c:idx val="6"/>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2B7C-457E-90B0-08028E4D1342}"/>
                </c:ext>
              </c:extLst>
            </c:dLbl>
            <c:dLbl>
              <c:idx val="7"/>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B7C-457E-90B0-08028E4D1342}"/>
                </c:ext>
              </c:extLst>
            </c:dLbl>
            <c:dLbl>
              <c:idx val="8"/>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2B7C-457E-90B0-08028E4D1342}"/>
                </c:ext>
              </c:extLst>
            </c:dLbl>
            <c:dLbl>
              <c:idx val="9"/>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B7C-457E-90B0-08028E4D1342}"/>
                </c:ext>
              </c:extLst>
            </c:dLbl>
            <c:dLbl>
              <c:idx val="10"/>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r>
                      <a:rPr lang="en-US">
                        <a:solidFill>
                          <a:schemeClr val="bg1"/>
                        </a:solidFill>
                      </a:rPr>
                      <a:t>Renewable Energy</a:t>
                    </a:r>
                    <a:r>
                      <a:rPr lang="en-US" baseline="0">
                        <a:solidFill>
                          <a:schemeClr val="bg1"/>
                        </a:solidFill>
                      </a:rPr>
                      <a:t>
</a:t>
                    </a:r>
                    <a:fld id="{C22072F8-88AD-46DF-9DC7-725EB8B52619}" type="PERCENTAGE">
                      <a:rPr lang="en-US" baseline="0">
                        <a:solidFill>
                          <a:schemeClr val="bg1"/>
                        </a:solidFill>
                      </a:rPr>
                      <a:pPr>
                        <a:defRPr sz="12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B7C-457E-90B0-08028E4D134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(Sheet2!$B$2:$C$2,Sheet2!$F$2:$G$2,Sheet2!$H$2,Sheet2!$R$2,Sheet2!$Y$2,Sheet2!$Z$2,Sheet2!$AD$2,Sheet2!$AE$2)</c:f>
              <c:strCache>
                <c:ptCount val="10"/>
                <c:pt idx="0">
                  <c:v>Petroleum</c:v>
                </c:pt>
                <c:pt idx="1">
                  <c:v>Coal</c:v>
                </c:pt>
                <c:pt idx="2">
                  <c:v>Natural Gas</c:v>
                </c:pt>
                <c:pt idx="3">
                  <c:v>Other Fossil Gas</c:v>
                </c:pt>
                <c:pt idx="4">
                  <c:v>Nuclear</c:v>
                </c:pt>
                <c:pt idx="5">
                  <c:v>Wind</c:v>
                </c:pt>
                <c:pt idx="6">
                  <c:v>Geothermal</c:v>
                </c:pt>
                <c:pt idx="7">
                  <c:v>Hydroelectric</c:v>
                </c:pt>
                <c:pt idx="8">
                  <c:v>Solar</c:v>
                </c:pt>
                <c:pt idx="9">
                  <c:v>Biomass</c:v>
                </c:pt>
              </c:strCache>
            </c:strRef>
          </c:cat>
          <c:val>
            <c:numRef>
              <c:f>(Sheet2!$B$3:$C$3,Sheet2!$F$3:$G$3,Sheet2!$H$3,Sheet2!$R$3,Sheet2!$Y$3,Sheet2!$Z$3,Sheet2!$AD$3,Sheet2!$AE$3)</c:f>
              <c:numCache>
                <c:formatCode>0</c:formatCode>
                <c:ptCount val="10"/>
                <c:pt idx="0">
                  <c:v>15085</c:v>
                </c:pt>
                <c:pt idx="1">
                  <c:v>652156</c:v>
                </c:pt>
                <c:pt idx="2">
                  <c:v>1869902</c:v>
                </c:pt>
                <c:pt idx="3">
                  <c:v>10845</c:v>
                </c:pt>
                <c:pt idx="4">
                  <c:v>781865</c:v>
                </c:pt>
                <c:pt idx="5">
                  <c:v>451904</c:v>
                </c:pt>
                <c:pt idx="6">
                  <c:v>15407</c:v>
                </c:pt>
                <c:pt idx="7">
                  <c:v>242896</c:v>
                </c:pt>
                <c:pt idx="8">
                  <c:v>303752</c:v>
                </c:pt>
                <c:pt idx="9">
                  <c:v>46422</c:v>
                </c:pt>
              </c:numCache>
            </c:numRef>
          </c:val>
          <c:extLst>
            <c:ext xmlns:c16="http://schemas.microsoft.com/office/drawing/2014/chart" uri="{C3380CC4-5D6E-409C-BE32-E72D297353CC}">
              <c16:uniqueId val="{00000000-2B7C-457E-90B0-08028E4D1342}"/>
            </c:ext>
          </c:extLst>
        </c:ser>
        <c:dLbls>
          <c:showLegendKey val="0"/>
          <c:showVal val="0"/>
          <c:showCatName val="0"/>
          <c:showSerName val="0"/>
          <c:showPercent val="0"/>
          <c:showBubbleSize val="0"/>
          <c:showLeaderLines val="1"/>
        </c:dLbls>
        <c:gapWidth val="100"/>
        <c:splitType val="pos"/>
        <c:splitPos val="5"/>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40100964922316E-2"/>
          <c:y val="9.9492065610442756E-2"/>
          <c:w val="0.83463613448583129"/>
          <c:h val="0.80101586877911446"/>
        </c:manualLayout>
      </c:layout>
      <c:ofPieChart>
        <c:ofPieType val="bar"/>
        <c:varyColors val="1"/>
        <c:ser>
          <c:idx val="0"/>
          <c:order val="0"/>
          <c:dPt>
            <c:idx val="0"/>
            <c:bubble3D val="0"/>
            <c:spPr>
              <a:solidFill>
                <a:srgbClr val="8064A2"/>
              </a:solidFill>
              <a:ln w="19050">
                <a:noFill/>
              </a:ln>
              <a:effectLst/>
            </c:spPr>
            <c:extLst>
              <c:ext xmlns:c16="http://schemas.microsoft.com/office/drawing/2014/chart" uri="{C3380CC4-5D6E-409C-BE32-E72D297353CC}">
                <c16:uniqueId val="{00000001-74FA-4E00-BE0E-F2EA13D5F626}"/>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74FA-4E00-BE0E-F2EA13D5F626}"/>
              </c:ext>
            </c:extLst>
          </c:dPt>
          <c:dPt>
            <c:idx val="2"/>
            <c:bubble3D val="0"/>
            <c:spPr>
              <a:solidFill>
                <a:srgbClr val="C0504D"/>
              </a:solidFill>
              <a:ln w="19050">
                <a:solidFill>
                  <a:schemeClr val="lt1"/>
                </a:solidFill>
              </a:ln>
              <a:effectLst/>
            </c:spPr>
            <c:extLst>
              <c:ext xmlns:c16="http://schemas.microsoft.com/office/drawing/2014/chart" uri="{C3380CC4-5D6E-409C-BE32-E72D297353CC}">
                <c16:uniqueId val="{00000005-74FA-4E00-BE0E-F2EA13D5F626}"/>
              </c:ext>
            </c:extLst>
          </c:dPt>
          <c:dPt>
            <c:idx val="3"/>
            <c:bubble3D val="0"/>
            <c:spPr>
              <a:solidFill>
                <a:schemeClr val="accent4"/>
              </a:solidFill>
              <a:ln w="19050">
                <a:noFill/>
              </a:ln>
              <a:effectLst/>
            </c:spPr>
            <c:extLst>
              <c:ext xmlns:c16="http://schemas.microsoft.com/office/drawing/2014/chart" uri="{C3380CC4-5D6E-409C-BE32-E72D297353CC}">
                <c16:uniqueId val="{00000007-74FA-4E00-BE0E-F2EA13D5F626}"/>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74FA-4E00-BE0E-F2EA13D5F626}"/>
              </c:ext>
            </c:extLst>
          </c:dPt>
          <c:dPt>
            <c:idx val="5"/>
            <c:bubble3D val="0"/>
            <c:spPr>
              <a:solidFill>
                <a:srgbClr val="95B3D7"/>
              </a:solidFill>
              <a:ln w="19050">
                <a:noFill/>
              </a:ln>
              <a:effectLst/>
            </c:spPr>
            <c:extLst>
              <c:ext xmlns:c16="http://schemas.microsoft.com/office/drawing/2014/chart" uri="{C3380CC4-5D6E-409C-BE32-E72D297353CC}">
                <c16:uniqueId val="{0000000B-74FA-4E00-BE0E-F2EA13D5F626}"/>
              </c:ext>
            </c:extLst>
          </c:dPt>
          <c:dPt>
            <c:idx val="6"/>
            <c:bubble3D val="0"/>
            <c:spPr>
              <a:solidFill>
                <a:srgbClr val="D99694"/>
              </a:solidFill>
              <a:ln w="19050">
                <a:noFill/>
              </a:ln>
              <a:effectLst/>
            </c:spPr>
            <c:extLst>
              <c:ext xmlns:c16="http://schemas.microsoft.com/office/drawing/2014/chart" uri="{C3380CC4-5D6E-409C-BE32-E72D297353CC}">
                <c16:uniqueId val="{0000000D-74FA-4E00-BE0E-F2EA13D5F626}"/>
              </c:ext>
            </c:extLst>
          </c:dPt>
          <c:dPt>
            <c:idx val="7"/>
            <c:bubble3D val="0"/>
            <c:spPr>
              <a:solidFill>
                <a:schemeClr val="accent1">
                  <a:lumMod val="40000"/>
                  <a:lumOff val="60000"/>
                </a:schemeClr>
              </a:solidFill>
              <a:ln w="19050">
                <a:noFill/>
              </a:ln>
              <a:effectLst/>
            </c:spPr>
            <c:extLst>
              <c:ext xmlns:c16="http://schemas.microsoft.com/office/drawing/2014/chart" uri="{C3380CC4-5D6E-409C-BE32-E72D297353CC}">
                <c16:uniqueId val="{0000000F-74FA-4E00-BE0E-F2EA13D5F626}"/>
              </c:ext>
            </c:extLst>
          </c:dPt>
          <c:dPt>
            <c:idx val="8"/>
            <c:bubble3D val="0"/>
            <c:spPr>
              <a:solidFill>
                <a:schemeClr val="accent2">
                  <a:lumMod val="60000"/>
                  <a:lumOff val="40000"/>
                </a:schemeClr>
              </a:solidFill>
              <a:ln w="19050">
                <a:noFill/>
              </a:ln>
              <a:effectLst/>
            </c:spPr>
            <c:extLst>
              <c:ext xmlns:c16="http://schemas.microsoft.com/office/drawing/2014/chart" uri="{C3380CC4-5D6E-409C-BE32-E72D297353CC}">
                <c16:uniqueId val="{00000011-74FA-4E00-BE0E-F2EA13D5F626}"/>
              </c:ext>
            </c:extLst>
          </c:dPt>
          <c:dPt>
            <c:idx val="9"/>
            <c:bubble3D val="0"/>
            <c:spPr>
              <a:solidFill>
                <a:schemeClr val="accent6">
                  <a:lumMod val="60000"/>
                  <a:lumOff val="40000"/>
                </a:schemeClr>
              </a:solidFill>
              <a:ln w="19050">
                <a:noFill/>
              </a:ln>
              <a:effectLst/>
            </c:spPr>
            <c:extLst>
              <c:ext xmlns:c16="http://schemas.microsoft.com/office/drawing/2014/chart" uri="{C3380CC4-5D6E-409C-BE32-E72D297353CC}">
                <c16:uniqueId val="{00000013-74FA-4E00-BE0E-F2EA13D5F626}"/>
              </c:ext>
            </c:extLst>
          </c:dPt>
          <c:dPt>
            <c:idx val="10"/>
            <c:bubble3D val="0"/>
            <c:explosion val="6"/>
            <c:spPr>
              <a:solidFill>
                <a:schemeClr val="accent6">
                  <a:lumMod val="75000"/>
                </a:schemeClr>
              </a:solidFill>
              <a:ln w="19050">
                <a:noFill/>
              </a:ln>
              <a:effectLst/>
            </c:spPr>
            <c:extLst>
              <c:ext xmlns:c16="http://schemas.microsoft.com/office/drawing/2014/chart" uri="{C3380CC4-5D6E-409C-BE32-E72D297353CC}">
                <c16:uniqueId val="{00000015-74FA-4E00-BE0E-F2EA13D5F626}"/>
              </c:ext>
            </c:extLst>
          </c:dPt>
          <c:dLbls>
            <c:dLbl>
              <c:idx val="1"/>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74FA-4E00-BE0E-F2EA13D5F626}"/>
                </c:ext>
              </c:extLst>
            </c:dLbl>
            <c:dLbl>
              <c:idx val="2"/>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74FA-4E00-BE0E-F2EA13D5F626}"/>
                </c:ext>
              </c:extLst>
            </c:dLbl>
            <c:dLbl>
              <c:idx val="4"/>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74FA-4E00-BE0E-F2EA13D5F626}"/>
                </c:ext>
              </c:extLst>
            </c:dLbl>
            <c:dLbl>
              <c:idx val="5"/>
              <c:tx>
                <c:rich>
                  <a:bodyPr/>
                  <a:lstStyle/>
                  <a:p>
                    <a:fld id="{D161C486-7A78-4408-8893-C80DA55981F8}" type="CATEGORYNAME">
                      <a:rPr lang="en-US"/>
                      <a:pPr/>
                      <a:t>[CATEGORY NAME]</a:t>
                    </a:fld>
                    <a:r>
                      <a:rPr lang="en-US" baseline="0"/>
                      <a:t> 43%</a:t>
                    </a: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B-74FA-4E00-BE0E-F2EA13D5F626}"/>
                </c:ext>
              </c:extLst>
            </c:dLbl>
            <c:dLbl>
              <c:idx val="6"/>
              <c:tx>
                <c:rich>
                  <a:bodyPr/>
                  <a:lstStyle/>
                  <a:p>
                    <a:fld id="{ECBB4572-B692-4D60-83FC-7F6ECC67A296}" type="CATEGORYNAME">
                      <a:rPr lang="en-US"/>
                      <a:pPr/>
                      <a:t>[CATEGORY NAME]</a:t>
                    </a:fld>
                    <a:r>
                      <a:rPr lang="en-US" baseline="0"/>
                      <a:t> 1%</a:t>
                    </a: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74FA-4E00-BE0E-F2EA13D5F626}"/>
                </c:ext>
              </c:extLst>
            </c:dLbl>
            <c:dLbl>
              <c:idx val="7"/>
              <c:tx>
                <c:rich>
                  <a:bodyPr/>
                  <a:lstStyle/>
                  <a:p>
                    <a:fld id="{A8144585-74AB-400D-ACDD-1E1B2E36BC5E}" type="CATEGORYNAME">
                      <a:rPr lang="en-US"/>
                      <a:pPr/>
                      <a:t>[CATEGORY NAME]</a:t>
                    </a:fld>
                    <a:r>
                      <a:rPr lang="en-US" baseline="0"/>
                      <a:t> 23%</a:t>
                    </a: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F-74FA-4E00-BE0E-F2EA13D5F626}"/>
                </c:ext>
              </c:extLst>
            </c:dLbl>
            <c:dLbl>
              <c:idx val="8"/>
              <c:tx>
                <c:rich>
                  <a:bodyPr/>
                  <a:lstStyle/>
                  <a:p>
                    <a:fld id="{D332325E-F84D-4BB5-A588-A5A3CBDC4062}" type="CATEGORYNAME">
                      <a:rPr lang="en-US"/>
                      <a:pPr/>
                      <a:t>[CATEGORY NAME]</a:t>
                    </a:fld>
                    <a:r>
                      <a:rPr lang="en-US" baseline="0"/>
                      <a:t> 29%</a:t>
                    </a: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1-74FA-4E00-BE0E-F2EA13D5F626}"/>
                </c:ext>
              </c:extLst>
            </c:dLbl>
            <c:dLbl>
              <c:idx val="9"/>
              <c:tx>
                <c:rich>
                  <a:bodyPr/>
                  <a:lstStyle/>
                  <a:p>
                    <a:fld id="{4BE34441-BB4B-4AD4-B66B-DBB641A59209}" type="CATEGORYNAME">
                      <a:rPr lang="en-US"/>
                      <a:pPr/>
                      <a:t>[CATEGORY NAME]</a:t>
                    </a:fld>
                    <a:r>
                      <a:rPr lang="en-US" baseline="0"/>
                      <a:t> 4%</a:t>
                    </a: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3-74FA-4E00-BE0E-F2EA13D5F626}"/>
                </c:ext>
              </c:extLst>
            </c:dLbl>
            <c:dLbl>
              <c:idx val="10"/>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r>
                      <a:rPr lang="en-US">
                        <a:solidFill>
                          <a:schemeClr val="bg1"/>
                        </a:solidFill>
                      </a:rPr>
                      <a:t>Renewable Energy</a:t>
                    </a:r>
                    <a:r>
                      <a:rPr lang="en-US" baseline="0">
                        <a:solidFill>
                          <a:schemeClr val="bg1"/>
                        </a:solidFill>
                      </a:rPr>
                      <a:t>
</a:t>
                    </a:r>
                    <a:fld id="{C22072F8-88AD-46DF-9DC7-725EB8B52619}" type="PERCENTAGE">
                      <a:rPr lang="en-US" baseline="0">
                        <a:solidFill>
                          <a:schemeClr val="bg1"/>
                        </a:solidFill>
                      </a:rPr>
                      <a:pPr>
                        <a:defRPr sz="12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74FA-4E00-BE0E-F2EA13D5F62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(Sheet2!$B$2:$C$2,Sheet2!$F$2:$G$2,Sheet2!$H$2,Sheet2!$R$2,Sheet2!$Y$2,Sheet2!$Z$2,Sheet2!$AD$2,Sheet2!$AE$2)</c:f>
              <c:strCache>
                <c:ptCount val="10"/>
                <c:pt idx="0">
                  <c:v>Petroleum</c:v>
                </c:pt>
                <c:pt idx="1">
                  <c:v>Coal</c:v>
                </c:pt>
                <c:pt idx="2">
                  <c:v>Natural Gas</c:v>
                </c:pt>
                <c:pt idx="3">
                  <c:v>Other Fossil Gas</c:v>
                </c:pt>
                <c:pt idx="4">
                  <c:v>Nuclear</c:v>
                </c:pt>
                <c:pt idx="5">
                  <c:v>Wind</c:v>
                </c:pt>
                <c:pt idx="6">
                  <c:v>Geothermal</c:v>
                </c:pt>
                <c:pt idx="7">
                  <c:v>Hydroelectric</c:v>
                </c:pt>
                <c:pt idx="8">
                  <c:v>Solar</c:v>
                </c:pt>
                <c:pt idx="9">
                  <c:v>Biomass</c:v>
                </c:pt>
              </c:strCache>
            </c:strRef>
          </c:cat>
          <c:val>
            <c:numRef>
              <c:f>(Sheet2!$B$3:$C$3,Sheet2!$F$3:$G$3,Sheet2!$H$3,Sheet2!$R$3,Sheet2!$Y$3,Sheet2!$Z$3,Sheet2!$AD$3,Sheet2!$AE$3)</c:f>
              <c:numCache>
                <c:formatCode>0</c:formatCode>
                <c:ptCount val="10"/>
                <c:pt idx="0">
                  <c:v>15085</c:v>
                </c:pt>
                <c:pt idx="1">
                  <c:v>652156</c:v>
                </c:pt>
                <c:pt idx="2">
                  <c:v>1869902</c:v>
                </c:pt>
                <c:pt idx="3">
                  <c:v>10845</c:v>
                </c:pt>
                <c:pt idx="4">
                  <c:v>781865</c:v>
                </c:pt>
                <c:pt idx="5">
                  <c:v>451904</c:v>
                </c:pt>
                <c:pt idx="6">
                  <c:v>15407</c:v>
                </c:pt>
                <c:pt idx="7">
                  <c:v>242896</c:v>
                </c:pt>
                <c:pt idx="8">
                  <c:v>303752</c:v>
                </c:pt>
                <c:pt idx="9">
                  <c:v>46422</c:v>
                </c:pt>
              </c:numCache>
            </c:numRef>
          </c:val>
          <c:extLst>
            <c:ext xmlns:c16="http://schemas.microsoft.com/office/drawing/2014/chart" uri="{C3380CC4-5D6E-409C-BE32-E72D297353CC}">
              <c16:uniqueId val="{00000016-74FA-4E00-BE0E-F2EA13D5F626}"/>
            </c:ext>
          </c:extLst>
        </c:ser>
        <c:dLbls>
          <c:showLegendKey val="0"/>
          <c:showVal val="0"/>
          <c:showCatName val="0"/>
          <c:showSerName val="0"/>
          <c:showPercent val="0"/>
          <c:showBubbleSize val="0"/>
          <c:showLeaderLines val="1"/>
        </c:dLbls>
        <c:gapWidth val="100"/>
        <c:splitType val="pos"/>
        <c:splitPos val="5"/>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253999</xdr:colOff>
      <xdr:row>10</xdr:row>
      <xdr:rowOff>63500</xdr:rowOff>
    </xdr:from>
    <xdr:to>
      <xdr:col>12</xdr:col>
      <xdr:colOff>102107</xdr:colOff>
      <xdr:row>30</xdr:row>
      <xdr:rowOff>156972</xdr:rowOff>
    </xdr:to>
    <xdr:graphicFrame macro="">
      <xdr:nvGraphicFramePr>
        <xdr:cNvPr id="4" name="Chart 3">
          <a:extLst>
            <a:ext uri="{FF2B5EF4-FFF2-40B4-BE49-F238E27FC236}">
              <a16:creationId xmlns:a16="http://schemas.microsoft.com/office/drawing/2014/main" id="{BDE09DDB-D8BD-5611-5FCF-4CDB54F9C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552450</xdr:colOff>
      <xdr:row>10</xdr:row>
      <xdr:rowOff>44450</xdr:rowOff>
    </xdr:from>
    <xdr:to>
      <xdr:col>24</xdr:col>
      <xdr:colOff>438658</xdr:colOff>
      <xdr:row>30</xdr:row>
      <xdr:rowOff>137922</xdr:rowOff>
    </xdr:to>
    <xdr:graphicFrame macro="">
      <xdr:nvGraphicFramePr>
        <xdr:cNvPr id="5" name="Chart 4">
          <a:extLst>
            <a:ext uri="{FF2B5EF4-FFF2-40B4-BE49-F238E27FC236}">
              <a16:creationId xmlns:a16="http://schemas.microsoft.com/office/drawing/2014/main" id="{4BF18BD2-DB10-4308-919A-F3A99006B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257F-CA57-4B3C-8D76-E28D857833C8}">
  <sheetPr>
    <pageSetUpPr fitToPage="1"/>
  </sheetPr>
  <dimension ref="A1:P60"/>
  <sheetViews>
    <sheetView zoomScale="85" workbookViewId="0">
      <pane xSplit="1" ySplit="4" topLeftCell="B5" activePane="bottomRight" state="frozen"/>
      <selection pane="topRight" activeCell="B1" sqref="B1"/>
      <selection pane="bottomLeft" activeCell="A5" sqref="A5"/>
      <selection pane="bottomRight" activeCell="A15" activeCellId="1" sqref="A3:P4 A15:P15"/>
    </sheetView>
  </sheetViews>
  <sheetFormatPr defaultColWidth="9.1796875" defaultRowHeight="14.5" x14ac:dyDescent="0.35"/>
  <cols>
    <col min="1" max="16" width="17.1796875" style="1" bestFit="1" customWidth="1"/>
    <col min="17" max="16384" width="9.1796875" style="1"/>
  </cols>
  <sheetData>
    <row r="1" spans="1:16" ht="16" customHeight="1" x14ac:dyDescent="0.35">
      <c r="A1" s="8" t="s">
        <v>0</v>
      </c>
      <c r="B1" s="8"/>
      <c r="C1" s="8"/>
      <c r="D1" s="8"/>
      <c r="E1" s="8"/>
      <c r="F1" s="8"/>
      <c r="G1" s="8"/>
      <c r="H1" s="8"/>
      <c r="I1" s="8"/>
      <c r="J1" s="8"/>
      <c r="K1" s="8"/>
      <c r="L1" s="8"/>
      <c r="M1" s="8"/>
      <c r="N1" s="8"/>
      <c r="O1" s="8"/>
      <c r="P1" s="8"/>
    </row>
    <row r="2" spans="1:16" ht="16" customHeight="1" x14ac:dyDescent="0.35">
      <c r="A2" s="8" t="s">
        <v>1</v>
      </c>
      <c r="B2" s="8"/>
      <c r="C2" s="8"/>
      <c r="D2" s="8"/>
      <c r="E2" s="8"/>
      <c r="F2" s="8"/>
      <c r="G2" s="8"/>
      <c r="H2" s="8"/>
      <c r="I2" s="8"/>
      <c r="J2" s="8"/>
      <c r="K2" s="8"/>
      <c r="L2" s="8"/>
      <c r="M2" s="8"/>
      <c r="N2" s="8"/>
      <c r="O2" s="8"/>
      <c r="P2" s="8"/>
    </row>
    <row r="3" spans="1:16" ht="26.5" x14ac:dyDescent="0.35">
      <c r="A3" s="2" t="s">
        <v>2</v>
      </c>
      <c r="B3" s="9" t="s">
        <v>3</v>
      </c>
      <c r="C3" s="10"/>
      <c r="D3" s="10"/>
      <c r="E3" s="10"/>
      <c r="F3" s="10"/>
      <c r="G3" s="10"/>
      <c r="H3" s="10"/>
      <c r="I3" s="10"/>
      <c r="J3" s="10"/>
      <c r="K3" s="10"/>
      <c r="L3" s="10"/>
      <c r="M3" s="11"/>
      <c r="N3" s="2" t="s">
        <v>4</v>
      </c>
      <c r="O3" s="9" t="s">
        <v>5</v>
      </c>
      <c r="P3" s="11"/>
    </row>
    <row r="4" spans="1:16" ht="65.5" x14ac:dyDescent="0.35">
      <c r="A4" s="2" t="s">
        <v>6</v>
      </c>
      <c r="B4" s="3" t="s">
        <v>7</v>
      </c>
      <c r="C4" s="3" t="s">
        <v>8</v>
      </c>
      <c r="D4" s="3" t="s">
        <v>9</v>
      </c>
      <c r="E4" s="3" t="s">
        <v>10</v>
      </c>
      <c r="F4" s="3" t="s">
        <v>11</v>
      </c>
      <c r="G4" s="3" t="s">
        <v>12</v>
      </c>
      <c r="H4" s="3" t="s">
        <v>13</v>
      </c>
      <c r="I4" s="3" t="s">
        <v>14</v>
      </c>
      <c r="J4" s="3" t="s">
        <v>15</v>
      </c>
      <c r="K4" s="3" t="s">
        <v>16</v>
      </c>
      <c r="L4" s="3" t="s">
        <v>17</v>
      </c>
      <c r="M4" s="3" t="s">
        <v>18</v>
      </c>
      <c r="N4" s="3" t="s">
        <v>19</v>
      </c>
      <c r="O4" s="3" t="s">
        <v>20</v>
      </c>
      <c r="P4" s="3" t="s">
        <v>21</v>
      </c>
    </row>
    <row r="5" spans="1:16" x14ac:dyDescent="0.35">
      <c r="A5" s="6" t="s">
        <v>22</v>
      </c>
      <c r="B5" s="6"/>
      <c r="C5" s="6"/>
      <c r="D5" s="6"/>
      <c r="E5" s="6"/>
      <c r="F5" s="6"/>
      <c r="G5" s="6"/>
      <c r="H5" s="6"/>
      <c r="I5" s="6"/>
      <c r="J5" s="6"/>
      <c r="K5" s="6"/>
      <c r="L5" s="6"/>
      <c r="M5" s="6"/>
      <c r="N5" s="6"/>
      <c r="O5" s="6"/>
      <c r="P5" s="6"/>
    </row>
    <row r="6" spans="1:16" x14ac:dyDescent="0.35">
      <c r="A6" s="4">
        <v>2015</v>
      </c>
      <c r="B6" s="5">
        <v>1352398</v>
      </c>
      <c r="C6" s="5">
        <v>17372</v>
      </c>
      <c r="D6" s="5">
        <v>10877</v>
      </c>
      <c r="E6" s="5">
        <v>1334668</v>
      </c>
      <c r="F6" s="5">
        <v>13117</v>
      </c>
      <c r="G6" s="5">
        <v>797178</v>
      </c>
      <c r="H6" s="5">
        <v>249080</v>
      </c>
      <c r="I6" s="5">
        <v>24893</v>
      </c>
      <c r="J6" s="5">
        <v>270268</v>
      </c>
      <c r="K6" s="5">
        <v>-5091</v>
      </c>
      <c r="L6" s="5">
        <v>13955</v>
      </c>
      <c r="M6" s="5">
        <v>4078714</v>
      </c>
      <c r="N6" s="5">
        <v>14139</v>
      </c>
      <c r="O6" s="5">
        <v>35805</v>
      </c>
      <c r="P6" s="5">
        <v>39032</v>
      </c>
    </row>
    <row r="7" spans="1:16" x14ac:dyDescent="0.35">
      <c r="A7" s="4">
        <v>2016</v>
      </c>
      <c r="B7" s="5">
        <v>1239149</v>
      </c>
      <c r="C7" s="5">
        <v>13008</v>
      </c>
      <c r="D7" s="5">
        <v>11197</v>
      </c>
      <c r="E7" s="5">
        <v>1379271</v>
      </c>
      <c r="F7" s="5">
        <v>12807</v>
      </c>
      <c r="G7" s="5">
        <v>805694</v>
      </c>
      <c r="H7" s="5">
        <v>267812</v>
      </c>
      <c r="I7" s="5">
        <v>36054</v>
      </c>
      <c r="J7" s="5">
        <v>305579</v>
      </c>
      <c r="K7" s="5">
        <v>-6686</v>
      </c>
      <c r="L7" s="5">
        <v>13689</v>
      </c>
      <c r="M7" s="5">
        <v>4077574</v>
      </c>
      <c r="N7" s="5">
        <v>18812</v>
      </c>
      <c r="O7" s="5">
        <v>51483</v>
      </c>
      <c r="P7" s="5">
        <v>54866</v>
      </c>
    </row>
    <row r="8" spans="1:16" x14ac:dyDescent="0.35">
      <c r="A8" s="4">
        <v>2017</v>
      </c>
      <c r="B8" s="5">
        <v>1205835</v>
      </c>
      <c r="C8" s="5">
        <v>12414</v>
      </c>
      <c r="D8" s="5">
        <v>8976</v>
      </c>
      <c r="E8" s="5">
        <v>1297703</v>
      </c>
      <c r="F8" s="5">
        <v>12469</v>
      </c>
      <c r="G8" s="5">
        <v>804950</v>
      </c>
      <c r="H8" s="5">
        <v>300333</v>
      </c>
      <c r="I8" s="5">
        <v>53287</v>
      </c>
      <c r="J8" s="5">
        <v>332963</v>
      </c>
      <c r="K8" s="5">
        <v>-6495</v>
      </c>
      <c r="L8" s="5">
        <v>13008</v>
      </c>
      <c r="M8" s="5">
        <v>4035443</v>
      </c>
      <c r="N8" s="5">
        <v>23990</v>
      </c>
      <c r="O8" s="5">
        <v>74008</v>
      </c>
      <c r="P8" s="5">
        <v>77277</v>
      </c>
    </row>
    <row r="9" spans="1:16" x14ac:dyDescent="0.35">
      <c r="A9" s="4">
        <v>2018</v>
      </c>
      <c r="B9" s="5">
        <v>1149487</v>
      </c>
      <c r="C9" s="5">
        <v>16245</v>
      </c>
      <c r="D9" s="5">
        <v>8981</v>
      </c>
      <c r="E9" s="5">
        <v>1471843</v>
      </c>
      <c r="F9" s="5">
        <v>13463</v>
      </c>
      <c r="G9" s="5">
        <v>807084</v>
      </c>
      <c r="H9" s="5">
        <v>292524</v>
      </c>
      <c r="I9" s="5">
        <v>63825</v>
      </c>
      <c r="J9" s="5">
        <v>350467</v>
      </c>
      <c r="K9" s="5">
        <v>-5905</v>
      </c>
      <c r="L9" s="5">
        <v>12973</v>
      </c>
      <c r="M9" s="5">
        <v>4180988</v>
      </c>
      <c r="N9" s="5">
        <v>29539</v>
      </c>
      <c r="O9" s="5">
        <v>89773</v>
      </c>
      <c r="P9" s="5">
        <v>93365</v>
      </c>
    </row>
    <row r="10" spans="1:16" x14ac:dyDescent="0.35">
      <c r="A10" s="4">
        <v>2019</v>
      </c>
      <c r="B10" s="5">
        <v>964957</v>
      </c>
      <c r="C10" s="5">
        <v>11522</v>
      </c>
      <c r="D10" s="5">
        <v>6819</v>
      </c>
      <c r="E10" s="5">
        <v>1588533</v>
      </c>
      <c r="F10" s="5">
        <v>12591</v>
      </c>
      <c r="G10" s="5">
        <v>809409</v>
      </c>
      <c r="H10" s="5">
        <v>287874</v>
      </c>
      <c r="I10" s="5">
        <v>71937</v>
      </c>
      <c r="J10" s="5">
        <v>368862</v>
      </c>
      <c r="K10" s="5">
        <v>-5261</v>
      </c>
      <c r="L10" s="5">
        <v>13331</v>
      </c>
      <c r="M10" s="5">
        <v>4130574</v>
      </c>
      <c r="N10" s="5">
        <v>34957</v>
      </c>
      <c r="O10" s="5">
        <v>103676</v>
      </c>
      <c r="P10" s="5">
        <v>106894</v>
      </c>
    </row>
    <row r="11" spans="1:16" x14ac:dyDescent="0.35">
      <c r="A11" s="4">
        <v>2020</v>
      </c>
      <c r="B11" s="5">
        <v>773393</v>
      </c>
      <c r="C11" s="5">
        <v>9662</v>
      </c>
      <c r="D11" s="5">
        <v>7679</v>
      </c>
      <c r="E11" s="5">
        <v>1626790</v>
      </c>
      <c r="F11" s="5">
        <v>11818</v>
      </c>
      <c r="G11" s="5">
        <v>789879</v>
      </c>
      <c r="H11" s="5">
        <v>285274</v>
      </c>
      <c r="I11" s="5">
        <v>89199</v>
      </c>
      <c r="J11" s="5">
        <v>408539</v>
      </c>
      <c r="K11" s="5">
        <v>-5321</v>
      </c>
      <c r="L11" s="5">
        <v>12855</v>
      </c>
      <c r="M11" s="5">
        <v>4009767</v>
      </c>
      <c r="N11" s="5">
        <v>41522</v>
      </c>
      <c r="O11" s="5">
        <v>127588</v>
      </c>
      <c r="P11" s="5">
        <v>130721</v>
      </c>
    </row>
    <row r="12" spans="1:16" x14ac:dyDescent="0.35">
      <c r="A12" s="4">
        <v>2021</v>
      </c>
      <c r="B12" s="5">
        <v>897999</v>
      </c>
      <c r="C12" s="5">
        <v>11663</v>
      </c>
      <c r="D12" s="5">
        <v>7511</v>
      </c>
      <c r="E12" s="5">
        <v>1579190</v>
      </c>
      <c r="F12" s="5">
        <v>11397</v>
      </c>
      <c r="G12" s="5">
        <v>779645</v>
      </c>
      <c r="H12" s="5">
        <v>251585</v>
      </c>
      <c r="I12" s="5">
        <v>115258</v>
      </c>
      <c r="J12" s="5">
        <v>448424</v>
      </c>
      <c r="K12" s="5">
        <v>-5112</v>
      </c>
      <c r="L12" s="5">
        <v>12140</v>
      </c>
      <c r="M12" s="5">
        <v>4109699</v>
      </c>
      <c r="N12" s="5">
        <v>49164</v>
      </c>
      <c r="O12" s="5">
        <v>161499</v>
      </c>
      <c r="P12" s="5">
        <v>164422</v>
      </c>
    </row>
    <row r="13" spans="1:16" x14ac:dyDescent="0.35">
      <c r="A13" s="4">
        <v>2022</v>
      </c>
      <c r="B13" s="5">
        <v>831512</v>
      </c>
      <c r="C13" s="5">
        <v>15805</v>
      </c>
      <c r="D13" s="5">
        <v>7126</v>
      </c>
      <c r="E13" s="5">
        <v>1687065</v>
      </c>
      <c r="F13" s="5">
        <v>11722</v>
      </c>
      <c r="G13" s="5">
        <v>771537</v>
      </c>
      <c r="H13" s="5">
        <v>254789</v>
      </c>
      <c r="I13" s="5">
        <v>143792</v>
      </c>
      <c r="J13" s="5">
        <v>502234</v>
      </c>
      <c r="K13" s="5">
        <v>-6028</v>
      </c>
      <c r="L13" s="5">
        <v>11114</v>
      </c>
      <c r="M13" s="5">
        <v>4230668</v>
      </c>
      <c r="N13" s="5">
        <v>61282</v>
      </c>
      <c r="O13" s="5">
        <v>202075</v>
      </c>
      <c r="P13" s="5">
        <v>205074</v>
      </c>
    </row>
    <row r="14" spans="1:16" x14ac:dyDescent="0.35">
      <c r="A14" s="4">
        <v>2023</v>
      </c>
      <c r="B14" s="5">
        <v>675115</v>
      </c>
      <c r="C14" s="5">
        <v>11397</v>
      </c>
      <c r="D14" s="5">
        <v>4836</v>
      </c>
      <c r="E14" s="5">
        <v>1806063</v>
      </c>
      <c r="F14" s="5">
        <v>11778</v>
      </c>
      <c r="G14" s="5">
        <v>774873</v>
      </c>
      <c r="H14" s="5">
        <v>245002</v>
      </c>
      <c r="I14" s="5">
        <v>165530</v>
      </c>
      <c r="J14" s="5">
        <v>484708</v>
      </c>
      <c r="K14" s="5">
        <v>-5990</v>
      </c>
      <c r="L14" s="5">
        <v>9957</v>
      </c>
      <c r="M14" s="5">
        <v>4183270</v>
      </c>
      <c r="N14" s="5">
        <v>73406</v>
      </c>
      <c r="O14" s="5">
        <v>236090</v>
      </c>
      <c r="P14" s="5">
        <v>238937</v>
      </c>
    </row>
    <row r="15" spans="1:16" x14ac:dyDescent="0.35">
      <c r="A15" s="4">
        <v>2024</v>
      </c>
      <c r="B15" s="5">
        <v>652156</v>
      </c>
      <c r="C15" s="5">
        <v>11456</v>
      </c>
      <c r="D15" s="5">
        <v>3629</v>
      </c>
      <c r="E15" s="5">
        <v>1869902</v>
      </c>
      <c r="F15" s="5">
        <v>10845</v>
      </c>
      <c r="G15" s="5">
        <v>781865</v>
      </c>
      <c r="H15" s="5">
        <v>242896</v>
      </c>
      <c r="I15" s="5">
        <v>219834</v>
      </c>
      <c r="J15" s="5">
        <v>513733</v>
      </c>
      <c r="K15" s="5">
        <v>-5852</v>
      </c>
      <c r="L15" s="5">
        <v>8170</v>
      </c>
      <c r="M15" s="5">
        <v>4308634</v>
      </c>
      <c r="N15" s="5">
        <v>83918</v>
      </c>
      <c r="O15" s="5">
        <v>300634</v>
      </c>
      <c r="P15" s="5">
        <v>303752</v>
      </c>
    </row>
    <row r="16" spans="1:16" x14ac:dyDescent="0.35">
      <c r="A16" s="6" t="s">
        <v>23</v>
      </c>
      <c r="B16" s="6"/>
      <c r="C16" s="6"/>
      <c r="D16" s="6"/>
      <c r="E16" s="6"/>
      <c r="F16" s="6"/>
      <c r="G16" s="6"/>
      <c r="H16" s="6"/>
      <c r="I16" s="6"/>
      <c r="J16" s="6"/>
      <c r="K16" s="6"/>
      <c r="L16" s="6"/>
      <c r="M16" s="6"/>
      <c r="N16" s="6"/>
      <c r="O16" s="6"/>
      <c r="P16" s="6"/>
    </row>
    <row r="17" spans="1:16" x14ac:dyDescent="0.35">
      <c r="A17" s="4" t="s">
        <v>24</v>
      </c>
      <c r="B17" s="5">
        <v>61357</v>
      </c>
      <c r="C17" s="5">
        <v>983</v>
      </c>
      <c r="D17" s="5">
        <v>421</v>
      </c>
      <c r="E17" s="5">
        <v>138503</v>
      </c>
      <c r="F17" s="5">
        <v>945</v>
      </c>
      <c r="G17" s="5">
        <v>70870</v>
      </c>
      <c r="H17" s="5">
        <v>22754</v>
      </c>
      <c r="I17" s="5">
        <v>7806</v>
      </c>
      <c r="J17" s="5">
        <v>44043</v>
      </c>
      <c r="K17" s="5">
        <v>-620</v>
      </c>
      <c r="L17" s="5">
        <v>889</v>
      </c>
      <c r="M17" s="5">
        <v>347950</v>
      </c>
      <c r="N17" s="5">
        <v>3989</v>
      </c>
      <c r="O17" s="5">
        <v>11711</v>
      </c>
      <c r="P17" s="5">
        <v>11795</v>
      </c>
    </row>
    <row r="18" spans="1:16" x14ac:dyDescent="0.35">
      <c r="A18" s="4" t="s">
        <v>25</v>
      </c>
      <c r="B18" s="5">
        <v>46374</v>
      </c>
      <c r="C18" s="5">
        <v>1233</v>
      </c>
      <c r="D18" s="5">
        <v>395</v>
      </c>
      <c r="E18" s="5">
        <v>125036</v>
      </c>
      <c r="F18" s="5">
        <v>891</v>
      </c>
      <c r="G18" s="5">
        <v>60807</v>
      </c>
      <c r="H18" s="5">
        <v>19961</v>
      </c>
      <c r="I18" s="5">
        <v>9435</v>
      </c>
      <c r="J18" s="5">
        <v>46467</v>
      </c>
      <c r="K18" s="5">
        <v>-456</v>
      </c>
      <c r="L18" s="5">
        <v>778</v>
      </c>
      <c r="M18" s="5">
        <v>310922</v>
      </c>
      <c r="N18" s="5">
        <v>4387</v>
      </c>
      <c r="O18" s="5">
        <v>13713</v>
      </c>
      <c r="P18" s="5">
        <v>13822</v>
      </c>
    </row>
    <row r="19" spans="1:16" x14ac:dyDescent="0.35">
      <c r="A19" s="4" t="s">
        <v>26</v>
      </c>
      <c r="B19" s="5">
        <v>50096</v>
      </c>
      <c r="C19" s="5">
        <v>924</v>
      </c>
      <c r="D19" s="5">
        <v>314</v>
      </c>
      <c r="E19" s="5">
        <v>133699</v>
      </c>
      <c r="F19" s="5">
        <v>1028</v>
      </c>
      <c r="G19" s="5">
        <v>62820</v>
      </c>
      <c r="H19" s="5">
        <v>21331</v>
      </c>
      <c r="I19" s="5">
        <v>12213</v>
      </c>
      <c r="J19" s="5">
        <v>49007</v>
      </c>
      <c r="K19" s="5">
        <v>-519</v>
      </c>
      <c r="L19" s="5">
        <v>790</v>
      </c>
      <c r="M19" s="5">
        <v>331704</v>
      </c>
      <c r="N19" s="5">
        <v>6005</v>
      </c>
      <c r="O19" s="5">
        <v>18064</v>
      </c>
      <c r="P19" s="5">
        <v>18218</v>
      </c>
    </row>
    <row r="20" spans="1:16" x14ac:dyDescent="0.35">
      <c r="A20" s="4" t="s">
        <v>27</v>
      </c>
      <c r="B20" s="5">
        <v>40233</v>
      </c>
      <c r="C20" s="5">
        <v>868</v>
      </c>
      <c r="D20" s="5">
        <v>301</v>
      </c>
      <c r="E20" s="5">
        <v>120012</v>
      </c>
      <c r="F20" s="5">
        <v>866</v>
      </c>
      <c r="G20" s="5">
        <v>56662</v>
      </c>
      <c r="H20" s="5">
        <v>19820</v>
      </c>
      <c r="I20" s="5">
        <v>15062</v>
      </c>
      <c r="J20" s="5">
        <v>47626</v>
      </c>
      <c r="K20" s="5">
        <v>-290</v>
      </c>
      <c r="L20" s="5">
        <v>744</v>
      </c>
      <c r="M20" s="5">
        <v>301903</v>
      </c>
      <c r="N20" s="5">
        <v>6742</v>
      </c>
      <c r="O20" s="5">
        <v>21509</v>
      </c>
      <c r="P20" s="5">
        <v>21803</v>
      </c>
    </row>
    <row r="21" spans="1:16" x14ac:dyDescent="0.35">
      <c r="A21" s="4" t="s">
        <v>28</v>
      </c>
      <c r="B21" s="5">
        <v>43804</v>
      </c>
      <c r="C21" s="5">
        <v>880</v>
      </c>
      <c r="D21" s="5">
        <v>330</v>
      </c>
      <c r="E21" s="5">
        <v>137394</v>
      </c>
      <c r="F21" s="5">
        <v>1011</v>
      </c>
      <c r="G21" s="5">
        <v>61155</v>
      </c>
      <c r="H21" s="5">
        <v>27651</v>
      </c>
      <c r="I21" s="5">
        <v>17281</v>
      </c>
      <c r="J21" s="5">
        <v>37570</v>
      </c>
      <c r="K21" s="5">
        <v>-459</v>
      </c>
      <c r="L21" s="5">
        <v>857</v>
      </c>
      <c r="M21" s="5">
        <v>327474</v>
      </c>
      <c r="N21" s="5">
        <v>7543</v>
      </c>
      <c r="O21" s="5">
        <v>24525</v>
      </c>
      <c r="P21" s="5">
        <v>24824</v>
      </c>
    </row>
    <row r="22" spans="1:16" x14ac:dyDescent="0.35">
      <c r="A22" s="4" t="s">
        <v>29</v>
      </c>
      <c r="B22" s="5">
        <v>57772</v>
      </c>
      <c r="C22" s="5">
        <v>878</v>
      </c>
      <c r="D22" s="5">
        <v>389</v>
      </c>
      <c r="E22" s="5">
        <v>161981</v>
      </c>
      <c r="F22" s="5">
        <v>974</v>
      </c>
      <c r="G22" s="5">
        <v>64819</v>
      </c>
      <c r="H22" s="5">
        <v>21572</v>
      </c>
      <c r="I22" s="5">
        <v>17834</v>
      </c>
      <c r="J22" s="5">
        <v>32728</v>
      </c>
      <c r="K22" s="5">
        <v>-551</v>
      </c>
      <c r="L22" s="5">
        <v>838</v>
      </c>
      <c r="M22" s="5">
        <v>359234</v>
      </c>
      <c r="N22" s="5">
        <v>7405</v>
      </c>
      <c r="O22" s="5">
        <v>24874</v>
      </c>
      <c r="P22" s="5">
        <v>25239</v>
      </c>
    </row>
    <row r="23" spans="1:16" x14ac:dyDescent="0.35">
      <c r="A23" s="4" t="s">
        <v>30</v>
      </c>
      <c r="B23" s="5">
        <v>78903</v>
      </c>
      <c r="C23" s="5">
        <v>964</v>
      </c>
      <c r="D23" s="5">
        <v>651</v>
      </c>
      <c r="E23" s="5">
        <v>199522</v>
      </c>
      <c r="F23" s="5">
        <v>1046</v>
      </c>
      <c r="G23" s="5">
        <v>69888</v>
      </c>
      <c r="H23" s="5">
        <v>21978</v>
      </c>
      <c r="I23" s="5">
        <v>18894</v>
      </c>
      <c r="J23" s="5">
        <v>33394</v>
      </c>
      <c r="K23" s="5">
        <v>-656</v>
      </c>
      <c r="L23" s="5">
        <v>872</v>
      </c>
      <c r="M23" s="5">
        <v>425455</v>
      </c>
      <c r="N23" s="5">
        <v>7720</v>
      </c>
      <c r="O23" s="5">
        <v>26234</v>
      </c>
      <c r="P23" s="5">
        <v>26614</v>
      </c>
    </row>
    <row r="24" spans="1:16" x14ac:dyDescent="0.35">
      <c r="A24" s="4" t="s">
        <v>31</v>
      </c>
      <c r="B24" s="5">
        <v>78112</v>
      </c>
      <c r="C24" s="5">
        <v>958</v>
      </c>
      <c r="D24" s="5">
        <v>651</v>
      </c>
      <c r="E24" s="5">
        <v>199221</v>
      </c>
      <c r="F24" s="5">
        <v>1088</v>
      </c>
      <c r="G24" s="5">
        <v>69744</v>
      </c>
      <c r="H24" s="5">
        <v>21293</v>
      </c>
      <c r="I24" s="5">
        <v>17744</v>
      </c>
      <c r="J24" s="5">
        <v>33882</v>
      </c>
      <c r="K24" s="5">
        <v>-653</v>
      </c>
      <c r="L24" s="5">
        <v>865</v>
      </c>
      <c r="M24" s="5">
        <v>422905</v>
      </c>
      <c r="N24" s="5">
        <v>7504</v>
      </c>
      <c r="O24" s="5">
        <v>24938</v>
      </c>
      <c r="P24" s="5">
        <v>25248</v>
      </c>
    </row>
    <row r="25" spans="1:16" x14ac:dyDescent="0.35">
      <c r="A25" s="4" t="s">
        <v>32</v>
      </c>
      <c r="B25" s="5">
        <v>59959</v>
      </c>
      <c r="C25" s="5">
        <v>894</v>
      </c>
      <c r="D25" s="5">
        <v>592</v>
      </c>
      <c r="E25" s="5">
        <v>166311</v>
      </c>
      <c r="F25" s="5">
        <v>983</v>
      </c>
      <c r="G25" s="5">
        <v>65560</v>
      </c>
      <c r="H25" s="5">
        <v>16916</v>
      </c>
      <c r="I25" s="5">
        <v>15583</v>
      </c>
      <c r="J25" s="5">
        <v>33470</v>
      </c>
      <c r="K25" s="5">
        <v>-553</v>
      </c>
      <c r="L25" s="5">
        <v>775</v>
      </c>
      <c r="M25" s="5">
        <v>360490</v>
      </c>
      <c r="N25" s="5">
        <v>6604</v>
      </c>
      <c r="O25" s="5">
        <v>21894</v>
      </c>
      <c r="P25" s="5">
        <v>22187</v>
      </c>
    </row>
    <row r="26" spans="1:16" x14ac:dyDescent="0.35">
      <c r="A26" s="4" t="s">
        <v>33</v>
      </c>
      <c r="B26" s="5">
        <v>50933</v>
      </c>
      <c r="C26" s="5">
        <v>990</v>
      </c>
      <c r="D26" s="5">
        <v>293</v>
      </c>
      <c r="E26" s="5">
        <v>140825</v>
      </c>
      <c r="F26" s="5">
        <v>924</v>
      </c>
      <c r="G26" s="5">
        <v>61436</v>
      </c>
      <c r="H26" s="5">
        <v>15673</v>
      </c>
      <c r="I26" s="5">
        <v>14121</v>
      </c>
      <c r="J26" s="5">
        <v>41060</v>
      </c>
      <c r="K26" s="5">
        <v>-372</v>
      </c>
      <c r="L26" s="5">
        <v>837</v>
      </c>
      <c r="M26" s="5">
        <v>326718</v>
      </c>
      <c r="N26" s="5">
        <v>6076</v>
      </c>
      <c r="O26" s="5">
        <v>19910</v>
      </c>
      <c r="P26" s="5">
        <v>20196</v>
      </c>
    </row>
    <row r="27" spans="1:16" x14ac:dyDescent="0.35">
      <c r="A27" s="4" t="s">
        <v>34</v>
      </c>
      <c r="B27" s="5">
        <v>51209</v>
      </c>
      <c r="C27" s="5">
        <v>906</v>
      </c>
      <c r="D27" s="5">
        <v>179</v>
      </c>
      <c r="E27" s="5">
        <v>135531</v>
      </c>
      <c r="F27" s="5">
        <v>959</v>
      </c>
      <c r="G27" s="5">
        <v>62258</v>
      </c>
      <c r="H27" s="5">
        <v>17026</v>
      </c>
      <c r="I27" s="5">
        <v>10446</v>
      </c>
      <c r="J27" s="5">
        <v>41774</v>
      </c>
      <c r="K27" s="5">
        <v>-347</v>
      </c>
      <c r="L27" s="5">
        <v>844</v>
      </c>
      <c r="M27" s="5">
        <v>320785</v>
      </c>
      <c r="N27" s="5">
        <v>4938</v>
      </c>
      <c r="O27" s="5">
        <v>15218</v>
      </c>
      <c r="P27" s="5">
        <v>15384</v>
      </c>
    </row>
    <row r="28" spans="1:16" x14ac:dyDescent="0.35">
      <c r="A28" s="4" t="s">
        <v>35</v>
      </c>
      <c r="B28" s="5">
        <v>56365</v>
      </c>
      <c r="C28" s="5">
        <v>920</v>
      </c>
      <c r="D28" s="5">
        <v>318</v>
      </c>
      <c r="E28" s="5">
        <v>148029</v>
      </c>
      <c r="F28" s="5">
        <v>1062</v>
      </c>
      <c r="G28" s="5">
        <v>68854</v>
      </c>
      <c r="H28" s="5">
        <v>19028</v>
      </c>
      <c r="I28" s="5">
        <v>9113</v>
      </c>
      <c r="J28" s="5">
        <v>43688</v>
      </c>
      <c r="K28" s="5">
        <v>-514</v>
      </c>
      <c r="L28" s="5">
        <v>869</v>
      </c>
      <c r="M28" s="5">
        <v>347732</v>
      </c>
      <c r="N28" s="5">
        <v>4494</v>
      </c>
      <c r="O28" s="5">
        <v>13500</v>
      </c>
      <c r="P28" s="5">
        <v>13606</v>
      </c>
    </row>
    <row r="29" spans="1:16" x14ac:dyDescent="0.35">
      <c r="A29" s="6" t="s">
        <v>36</v>
      </c>
      <c r="B29" s="6"/>
      <c r="C29" s="6"/>
      <c r="D29" s="6"/>
      <c r="E29" s="6"/>
      <c r="F29" s="6"/>
      <c r="G29" s="6"/>
      <c r="H29" s="6"/>
      <c r="I29" s="6"/>
      <c r="J29" s="6"/>
      <c r="K29" s="6"/>
      <c r="L29" s="6"/>
      <c r="M29" s="6"/>
      <c r="N29" s="6"/>
      <c r="O29" s="6"/>
      <c r="P29" s="6"/>
    </row>
    <row r="30" spans="1:16" x14ac:dyDescent="0.35">
      <c r="A30" s="4" t="s">
        <v>24</v>
      </c>
      <c r="B30" s="5">
        <v>75618</v>
      </c>
      <c r="C30" s="5">
        <v>1469</v>
      </c>
      <c r="D30" s="5">
        <v>360</v>
      </c>
      <c r="E30" s="5">
        <v>161667</v>
      </c>
      <c r="F30" s="5">
        <v>1074</v>
      </c>
      <c r="G30" s="5">
        <v>69080</v>
      </c>
      <c r="H30" s="5">
        <v>21554</v>
      </c>
      <c r="I30" s="5">
        <v>9583</v>
      </c>
      <c r="J30" s="5">
        <v>40334</v>
      </c>
      <c r="K30" s="5">
        <v>-414</v>
      </c>
      <c r="L30" s="5">
        <v>799</v>
      </c>
      <c r="M30" s="5">
        <v>381122</v>
      </c>
      <c r="N30" s="5">
        <v>4726</v>
      </c>
      <c r="O30" s="5">
        <v>14230</v>
      </c>
      <c r="P30" s="5">
        <v>14309</v>
      </c>
    </row>
    <row r="31" spans="1:16" x14ac:dyDescent="0.35">
      <c r="A31" s="4" t="s">
        <v>25</v>
      </c>
      <c r="B31" s="5">
        <v>44137</v>
      </c>
      <c r="C31" s="5">
        <v>740</v>
      </c>
      <c r="D31" s="5">
        <v>217</v>
      </c>
      <c r="E31" s="5">
        <v>131845</v>
      </c>
      <c r="F31" s="5">
        <v>931</v>
      </c>
      <c r="G31" s="5">
        <v>64584</v>
      </c>
      <c r="H31" s="5">
        <v>20795</v>
      </c>
      <c r="I31" s="5">
        <v>12540</v>
      </c>
      <c r="J31" s="5">
        <v>46108</v>
      </c>
      <c r="K31" s="5">
        <v>-404</v>
      </c>
      <c r="L31" s="5">
        <v>720</v>
      </c>
      <c r="M31" s="5">
        <v>322214</v>
      </c>
      <c r="N31" s="5">
        <v>5342</v>
      </c>
      <c r="O31" s="5">
        <v>17763</v>
      </c>
      <c r="P31" s="5">
        <v>17882</v>
      </c>
    </row>
    <row r="32" spans="1:16" x14ac:dyDescent="0.35">
      <c r="A32" s="4" t="s">
        <v>26</v>
      </c>
      <c r="B32" s="5">
        <v>38505</v>
      </c>
      <c r="C32" s="5">
        <v>784</v>
      </c>
      <c r="D32" s="5">
        <v>207</v>
      </c>
      <c r="E32" s="5">
        <v>131137</v>
      </c>
      <c r="F32" s="5">
        <v>882</v>
      </c>
      <c r="G32" s="5">
        <v>63346</v>
      </c>
      <c r="H32" s="5">
        <v>23363</v>
      </c>
      <c r="I32" s="5">
        <v>16019</v>
      </c>
      <c r="J32" s="5">
        <v>50354</v>
      </c>
      <c r="K32" s="5">
        <v>-349</v>
      </c>
      <c r="L32" s="5">
        <v>689</v>
      </c>
      <c r="M32" s="5">
        <v>324938</v>
      </c>
      <c r="N32" s="5">
        <v>7113</v>
      </c>
      <c r="O32" s="5">
        <v>22911</v>
      </c>
      <c r="P32" s="5">
        <v>23132</v>
      </c>
    </row>
    <row r="33" spans="1:16" x14ac:dyDescent="0.35">
      <c r="A33" s="4" t="s">
        <v>27</v>
      </c>
      <c r="B33" s="5">
        <v>37246</v>
      </c>
      <c r="C33" s="5">
        <v>866</v>
      </c>
      <c r="D33" s="5">
        <v>278</v>
      </c>
      <c r="E33" s="5">
        <v>121532</v>
      </c>
      <c r="F33" s="5">
        <v>913</v>
      </c>
      <c r="G33" s="5">
        <v>57542</v>
      </c>
      <c r="H33" s="5">
        <v>20916</v>
      </c>
      <c r="I33" s="5">
        <v>19241</v>
      </c>
      <c r="J33" s="5">
        <v>51940</v>
      </c>
      <c r="K33" s="5">
        <v>-338</v>
      </c>
      <c r="L33" s="5">
        <v>644</v>
      </c>
      <c r="M33" s="5">
        <v>310780</v>
      </c>
      <c r="N33" s="5">
        <v>7832</v>
      </c>
      <c r="O33" s="5">
        <v>26741</v>
      </c>
      <c r="P33" s="5">
        <v>27073</v>
      </c>
    </row>
    <row r="34" spans="1:16" x14ac:dyDescent="0.35">
      <c r="A34" s="4" t="s">
        <v>28</v>
      </c>
      <c r="B34" s="5">
        <v>45812</v>
      </c>
      <c r="C34" s="5">
        <v>850</v>
      </c>
      <c r="D34" s="5">
        <v>304</v>
      </c>
      <c r="E34" s="5">
        <v>143993</v>
      </c>
      <c r="F34" s="5">
        <v>889</v>
      </c>
      <c r="G34" s="5">
        <v>64973</v>
      </c>
      <c r="H34" s="5">
        <v>24477</v>
      </c>
      <c r="I34" s="5">
        <v>22371</v>
      </c>
      <c r="J34" s="5">
        <v>44360</v>
      </c>
      <c r="K34" s="5">
        <v>-284</v>
      </c>
      <c r="L34" s="5">
        <v>738</v>
      </c>
      <c r="M34" s="5">
        <v>348485</v>
      </c>
      <c r="N34" s="5">
        <v>8539</v>
      </c>
      <c r="O34" s="5">
        <v>30496</v>
      </c>
      <c r="P34" s="5">
        <v>30910</v>
      </c>
    </row>
    <row r="35" spans="1:16" x14ac:dyDescent="0.35">
      <c r="A35" s="4" t="s">
        <v>29</v>
      </c>
      <c r="B35" s="5">
        <v>61339</v>
      </c>
      <c r="C35" s="5">
        <v>890</v>
      </c>
      <c r="D35" s="5">
        <v>389</v>
      </c>
      <c r="E35" s="5">
        <v>169156</v>
      </c>
      <c r="F35" s="5">
        <v>941</v>
      </c>
      <c r="G35" s="5">
        <v>68192</v>
      </c>
      <c r="H35" s="5">
        <v>22397</v>
      </c>
      <c r="I35" s="5">
        <v>24459</v>
      </c>
      <c r="J35" s="5">
        <v>43755</v>
      </c>
      <c r="K35" s="5">
        <v>-579</v>
      </c>
      <c r="L35" s="5">
        <v>694</v>
      </c>
      <c r="M35" s="5">
        <v>391632</v>
      </c>
      <c r="N35" s="5">
        <v>8553</v>
      </c>
      <c r="O35" s="5">
        <v>32598</v>
      </c>
      <c r="P35" s="5">
        <v>33012</v>
      </c>
    </row>
    <row r="36" spans="1:16" x14ac:dyDescent="0.35">
      <c r="A36" s="4" t="s">
        <v>30</v>
      </c>
      <c r="B36" s="5">
        <v>71565</v>
      </c>
      <c r="C36" s="5">
        <v>997</v>
      </c>
      <c r="D36" s="5">
        <v>451</v>
      </c>
      <c r="E36" s="5">
        <v>205959</v>
      </c>
      <c r="F36" s="5">
        <v>949</v>
      </c>
      <c r="G36" s="5">
        <v>69851</v>
      </c>
      <c r="H36" s="5">
        <v>21384</v>
      </c>
      <c r="I36" s="5">
        <v>24484</v>
      </c>
      <c r="J36" s="5">
        <v>33593</v>
      </c>
      <c r="K36" s="5">
        <v>-639</v>
      </c>
      <c r="L36" s="5">
        <v>723</v>
      </c>
      <c r="M36" s="5">
        <v>429317</v>
      </c>
      <c r="N36" s="5">
        <v>8778</v>
      </c>
      <c r="O36" s="5">
        <v>32901</v>
      </c>
      <c r="P36" s="5">
        <v>33262</v>
      </c>
    </row>
    <row r="37" spans="1:16" x14ac:dyDescent="0.35">
      <c r="A37" s="4" t="s">
        <v>31</v>
      </c>
      <c r="B37" s="5">
        <v>68760</v>
      </c>
      <c r="C37" s="5">
        <v>993</v>
      </c>
      <c r="D37" s="5">
        <v>432</v>
      </c>
      <c r="E37" s="5">
        <v>202915</v>
      </c>
      <c r="F37" s="5">
        <v>911</v>
      </c>
      <c r="G37" s="5">
        <v>69760</v>
      </c>
      <c r="H37" s="5">
        <v>20491</v>
      </c>
      <c r="I37" s="5">
        <v>24328</v>
      </c>
      <c r="J37" s="5">
        <v>34653</v>
      </c>
      <c r="K37" s="5">
        <v>-798</v>
      </c>
      <c r="L37" s="5">
        <v>682</v>
      </c>
      <c r="M37" s="5">
        <v>423127</v>
      </c>
      <c r="N37" s="5">
        <v>8412</v>
      </c>
      <c r="O37" s="5">
        <v>32387</v>
      </c>
      <c r="P37" s="5">
        <v>32741</v>
      </c>
    </row>
    <row r="38" spans="1:16" x14ac:dyDescent="0.35">
      <c r="A38" s="4" t="s">
        <v>32</v>
      </c>
      <c r="B38" s="5">
        <v>54559</v>
      </c>
      <c r="C38" s="5">
        <v>839</v>
      </c>
      <c r="D38" s="5">
        <v>236</v>
      </c>
      <c r="E38" s="5">
        <v>169671</v>
      </c>
      <c r="F38" s="5">
        <v>836</v>
      </c>
      <c r="G38" s="5">
        <v>62660</v>
      </c>
      <c r="H38" s="5">
        <v>15911</v>
      </c>
      <c r="I38" s="5">
        <v>20538</v>
      </c>
      <c r="J38" s="5">
        <v>34165</v>
      </c>
      <c r="K38" s="5">
        <v>-637</v>
      </c>
      <c r="L38" s="5">
        <v>619</v>
      </c>
      <c r="M38" s="5">
        <v>359397</v>
      </c>
      <c r="N38" s="5">
        <v>7511</v>
      </c>
      <c r="O38" s="5">
        <v>27714</v>
      </c>
      <c r="P38" s="5">
        <v>28049</v>
      </c>
    </row>
    <row r="39" spans="1:16" x14ac:dyDescent="0.35">
      <c r="A39" s="4" t="s">
        <v>33</v>
      </c>
      <c r="B39" s="5">
        <v>46890</v>
      </c>
      <c r="C39" s="5">
        <v>929</v>
      </c>
      <c r="D39" s="5">
        <v>232</v>
      </c>
      <c r="E39" s="5">
        <v>146711</v>
      </c>
      <c r="F39" s="5">
        <v>801</v>
      </c>
      <c r="G39" s="5">
        <v>58773</v>
      </c>
      <c r="H39" s="5">
        <v>15352</v>
      </c>
      <c r="I39" s="5">
        <v>19828</v>
      </c>
      <c r="J39" s="5">
        <v>44334</v>
      </c>
      <c r="K39" s="5">
        <v>-439</v>
      </c>
      <c r="L39" s="5">
        <v>570</v>
      </c>
      <c r="M39" s="5">
        <v>333980</v>
      </c>
      <c r="N39" s="5">
        <v>6736</v>
      </c>
      <c r="O39" s="5">
        <v>26331</v>
      </c>
      <c r="P39" s="5">
        <v>26564</v>
      </c>
    </row>
    <row r="40" spans="1:16" x14ac:dyDescent="0.35">
      <c r="A40" s="4" t="s">
        <v>34</v>
      </c>
      <c r="B40" s="5">
        <v>44924</v>
      </c>
      <c r="C40" s="5">
        <v>875</v>
      </c>
      <c r="D40" s="5">
        <v>220</v>
      </c>
      <c r="E40" s="5">
        <v>137687</v>
      </c>
      <c r="F40" s="5">
        <v>800</v>
      </c>
      <c r="G40" s="5">
        <v>61904</v>
      </c>
      <c r="H40" s="5">
        <v>16723</v>
      </c>
      <c r="I40" s="5">
        <v>13841</v>
      </c>
      <c r="J40" s="5">
        <v>45214</v>
      </c>
      <c r="K40" s="5">
        <v>-490</v>
      </c>
      <c r="L40" s="5">
        <v>652</v>
      </c>
      <c r="M40" s="5">
        <v>322351</v>
      </c>
      <c r="N40" s="5">
        <v>5393</v>
      </c>
      <c r="O40" s="5">
        <v>19098</v>
      </c>
      <c r="P40" s="5">
        <v>19234</v>
      </c>
    </row>
    <row r="41" spans="1:16" x14ac:dyDescent="0.35">
      <c r="A41" s="4" t="s">
        <v>35</v>
      </c>
      <c r="B41" s="5">
        <v>62800</v>
      </c>
      <c r="C41" s="5">
        <v>1224</v>
      </c>
      <c r="D41" s="5">
        <v>304</v>
      </c>
      <c r="E41" s="5">
        <v>147630</v>
      </c>
      <c r="F41" s="5">
        <v>919</v>
      </c>
      <c r="G41" s="5">
        <v>71200</v>
      </c>
      <c r="H41" s="5">
        <v>19533</v>
      </c>
      <c r="I41" s="5">
        <v>12601</v>
      </c>
      <c r="J41" s="5">
        <v>44923</v>
      </c>
      <c r="K41" s="5">
        <v>-481</v>
      </c>
      <c r="L41" s="5">
        <v>639</v>
      </c>
      <c r="M41" s="5">
        <v>361292</v>
      </c>
      <c r="N41" s="5">
        <v>4984</v>
      </c>
      <c r="O41" s="5">
        <v>17465</v>
      </c>
      <c r="P41" s="5">
        <v>17585</v>
      </c>
    </row>
    <row r="42" spans="1:16" x14ac:dyDescent="0.35">
      <c r="A42" s="6" t="s">
        <v>37</v>
      </c>
      <c r="B42" s="6"/>
      <c r="C42" s="6"/>
      <c r="D42" s="6"/>
      <c r="E42" s="6"/>
      <c r="F42" s="6"/>
      <c r="G42" s="6"/>
      <c r="H42" s="6"/>
      <c r="I42" s="6"/>
      <c r="J42" s="6"/>
      <c r="K42" s="6"/>
      <c r="L42" s="6"/>
      <c r="M42" s="6"/>
      <c r="N42" s="6"/>
      <c r="O42" s="6"/>
      <c r="P42" s="6"/>
    </row>
    <row r="43" spans="1:16" x14ac:dyDescent="0.35">
      <c r="A43" s="4" t="s">
        <v>24</v>
      </c>
      <c r="B43" s="5">
        <v>83153</v>
      </c>
      <c r="C43" s="5">
        <v>2751</v>
      </c>
      <c r="D43" s="5">
        <v>538</v>
      </c>
      <c r="E43" s="5">
        <v>157040</v>
      </c>
      <c r="F43" s="5">
        <v>1103</v>
      </c>
      <c r="G43" s="5">
        <v>71739</v>
      </c>
      <c r="H43" s="5">
        <v>21429</v>
      </c>
      <c r="I43" s="5">
        <v>15428</v>
      </c>
      <c r="J43" s="5">
        <v>49014</v>
      </c>
      <c r="K43" s="5">
        <v>-467</v>
      </c>
      <c r="L43" s="5">
        <v>640</v>
      </c>
      <c r="M43" s="5">
        <v>402368</v>
      </c>
      <c r="N43" s="5">
        <v>5397</v>
      </c>
      <c r="O43" s="5">
        <v>20738</v>
      </c>
      <c r="P43" s="5">
        <v>20825</v>
      </c>
    </row>
    <row r="44" spans="1:16" x14ac:dyDescent="0.35">
      <c r="A44" s="4" t="s">
        <v>25</v>
      </c>
      <c r="B44" s="5">
        <v>62306</v>
      </c>
      <c r="C44" s="5">
        <v>1182</v>
      </c>
      <c r="D44" s="5">
        <v>336</v>
      </c>
      <c r="E44" s="5">
        <v>131182</v>
      </c>
      <c r="F44" s="5">
        <v>1108</v>
      </c>
      <c r="G44" s="5">
        <v>61829</v>
      </c>
      <c r="H44" s="5">
        <v>19541</v>
      </c>
      <c r="I44" s="5">
        <v>16421</v>
      </c>
      <c r="J44" s="5">
        <v>44300</v>
      </c>
      <c r="K44" s="5">
        <v>-410</v>
      </c>
      <c r="L44" s="5">
        <v>584</v>
      </c>
      <c r="M44" s="5">
        <v>338379</v>
      </c>
      <c r="N44" s="5">
        <v>5806</v>
      </c>
      <c r="O44" s="5">
        <v>22088</v>
      </c>
      <c r="P44" s="5">
        <v>22227</v>
      </c>
    </row>
    <row r="45" spans="1:16" x14ac:dyDescent="0.35">
      <c r="A45" s="4" t="s">
        <v>26</v>
      </c>
      <c r="B45" s="5">
        <v>49215</v>
      </c>
      <c r="C45" s="5">
        <v>857</v>
      </c>
      <c r="D45" s="5">
        <v>412</v>
      </c>
      <c r="E45" s="5">
        <v>118276</v>
      </c>
      <c r="F45" s="5">
        <v>773</v>
      </c>
      <c r="G45" s="5">
        <v>62457</v>
      </c>
      <c r="H45" s="5">
        <v>22454</v>
      </c>
      <c r="I45" s="5">
        <v>23161</v>
      </c>
      <c r="J45" s="5">
        <v>55934</v>
      </c>
      <c r="K45" s="5">
        <v>-399</v>
      </c>
      <c r="L45" s="5">
        <v>590</v>
      </c>
      <c r="M45" s="5">
        <v>333731</v>
      </c>
      <c r="N45" s="5">
        <v>7961</v>
      </c>
      <c r="O45" s="5">
        <v>30953</v>
      </c>
      <c r="P45" s="5">
        <v>31123</v>
      </c>
    </row>
    <row r="46" spans="1:16" x14ac:dyDescent="0.35">
      <c r="A46" s="4" t="s">
        <v>27</v>
      </c>
      <c r="B46" s="5">
        <v>45526</v>
      </c>
      <c r="C46" s="5">
        <v>856</v>
      </c>
      <c r="D46" s="5">
        <v>319</v>
      </c>
      <c r="E46" s="5">
        <v>114671</v>
      </c>
      <c r="F46" s="5">
        <v>650</v>
      </c>
      <c r="G46" s="5">
        <v>57893</v>
      </c>
      <c r="H46" s="5">
        <v>22840</v>
      </c>
      <c r="I46" s="5">
        <v>26670</v>
      </c>
      <c r="J46" s="5">
        <v>50662</v>
      </c>
      <c r="K46" s="5">
        <v>-259</v>
      </c>
      <c r="L46" s="5">
        <v>585</v>
      </c>
      <c r="M46" s="5">
        <v>320412</v>
      </c>
      <c r="N46" s="5">
        <v>8758</v>
      </c>
      <c r="O46" s="5">
        <v>35129</v>
      </c>
      <c r="P46" s="5">
        <v>35428</v>
      </c>
    </row>
    <row r="47" spans="1:16" x14ac:dyDescent="0.35">
      <c r="A47" s="4" t="s">
        <v>28</v>
      </c>
      <c r="B47" s="5">
        <v>48778</v>
      </c>
      <c r="C47" s="5">
        <v>764</v>
      </c>
      <c r="D47" s="5">
        <v>344</v>
      </c>
      <c r="E47" s="5">
        <v>135005</v>
      </c>
      <c r="F47" s="5">
        <v>638</v>
      </c>
      <c r="G47" s="5">
        <v>62145</v>
      </c>
      <c r="H47" s="5">
        <v>24358</v>
      </c>
      <c r="I47" s="5">
        <v>29623</v>
      </c>
      <c r="J47" s="5">
        <v>41920</v>
      </c>
      <c r="K47" s="5">
        <v>-271</v>
      </c>
      <c r="L47" s="5">
        <v>556</v>
      </c>
      <c r="M47" s="5">
        <v>343861</v>
      </c>
      <c r="N47" s="5">
        <v>9309</v>
      </c>
      <c r="O47" s="5">
        <v>38602</v>
      </c>
      <c r="P47" s="5">
        <v>38932</v>
      </c>
    </row>
    <row r="48" spans="1:16" x14ac:dyDescent="0.35">
      <c r="A48" s="4" t="s">
        <v>29</v>
      </c>
      <c r="B48" s="5">
        <v>64502</v>
      </c>
      <c r="C48" s="5">
        <v>1115</v>
      </c>
      <c r="D48" s="5">
        <v>417</v>
      </c>
      <c r="E48" s="5">
        <v>164781</v>
      </c>
      <c r="F48" s="5">
        <v>965</v>
      </c>
      <c r="G48" s="5">
        <v>66222</v>
      </c>
      <c r="H48" s="5">
        <v>22161</v>
      </c>
      <c r="I48" s="5">
        <v>31743</v>
      </c>
      <c r="J48" s="5">
        <v>40971</v>
      </c>
      <c r="K48" s="5">
        <v>-420</v>
      </c>
      <c r="L48" s="5">
        <v>539</v>
      </c>
      <c r="M48" s="5">
        <v>392998</v>
      </c>
      <c r="N48" s="5">
        <v>9425</v>
      </c>
      <c r="O48" s="5">
        <v>40781</v>
      </c>
      <c r="P48" s="5">
        <v>41168</v>
      </c>
    </row>
    <row r="49" spans="1:16" x14ac:dyDescent="0.35">
      <c r="A49" s="4" t="s">
        <v>30</v>
      </c>
      <c r="B49" s="5">
        <v>80260</v>
      </c>
      <c r="C49" s="5">
        <v>1107</v>
      </c>
      <c r="D49" s="5">
        <v>567</v>
      </c>
      <c r="E49" s="5">
        <v>201958</v>
      </c>
      <c r="F49" s="5">
        <v>889</v>
      </c>
      <c r="G49" s="5">
        <v>70781</v>
      </c>
      <c r="H49" s="5">
        <v>19984</v>
      </c>
      <c r="I49" s="5">
        <v>33174</v>
      </c>
      <c r="J49" s="5">
        <v>37234</v>
      </c>
      <c r="K49" s="5">
        <v>-486</v>
      </c>
      <c r="L49" s="5">
        <v>587</v>
      </c>
      <c r="M49" s="5">
        <v>446057</v>
      </c>
      <c r="N49" s="5">
        <v>9858</v>
      </c>
      <c r="O49" s="5">
        <v>42664</v>
      </c>
      <c r="P49" s="5">
        <v>43032</v>
      </c>
    </row>
    <row r="50" spans="1:16" x14ac:dyDescent="0.35">
      <c r="A50" s="4" t="s">
        <v>31</v>
      </c>
      <c r="B50" s="5">
        <v>69728</v>
      </c>
      <c r="C50" s="5">
        <v>1018</v>
      </c>
      <c r="D50" s="5">
        <v>501</v>
      </c>
      <c r="E50" s="5">
        <v>192845</v>
      </c>
      <c r="F50" s="5">
        <v>865</v>
      </c>
      <c r="G50" s="5">
        <v>70705</v>
      </c>
      <c r="H50" s="5">
        <v>19983</v>
      </c>
      <c r="I50" s="5">
        <v>31501</v>
      </c>
      <c r="J50" s="5">
        <v>32681</v>
      </c>
      <c r="K50" s="5">
        <v>-568</v>
      </c>
      <c r="L50" s="5">
        <v>501</v>
      </c>
      <c r="M50" s="5">
        <v>419759</v>
      </c>
      <c r="N50" s="5">
        <v>9319</v>
      </c>
      <c r="O50" s="5">
        <v>40483</v>
      </c>
      <c r="P50" s="5">
        <v>40820</v>
      </c>
    </row>
    <row r="51" spans="1:16" x14ac:dyDescent="0.35">
      <c r="A51" s="4" t="s">
        <v>32</v>
      </c>
      <c r="B51" s="5">
        <v>58427</v>
      </c>
      <c r="C51" s="5">
        <v>918</v>
      </c>
      <c r="D51" s="5">
        <v>390</v>
      </c>
      <c r="E51" s="5">
        <v>167875</v>
      </c>
      <c r="F51" s="5">
        <v>963</v>
      </c>
      <c r="G51" s="5">
        <v>65458</v>
      </c>
      <c r="H51" s="5">
        <v>15322</v>
      </c>
      <c r="I51" s="5">
        <v>27956</v>
      </c>
      <c r="J51" s="5">
        <v>30825</v>
      </c>
      <c r="K51" s="5">
        <v>-457</v>
      </c>
      <c r="L51" s="5">
        <v>471</v>
      </c>
      <c r="M51" s="5">
        <v>368147</v>
      </c>
      <c r="N51" s="5">
        <v>8465</v>
      </c>
      <c r="O51" s="5">
        <v>36165</v>
      </c>
      <c r="P51" s="5">
        <v>36422</v>
      </c>
    </row>
    <row r="52" spans="1:16" x14ac:dyDescent="0.35">
      <c r="A52" s="4" t="s">
        <v>33</v>
      </c>
      <c r="B52" s="5">
        <v>54435</v>
      </c>
      <c r="C52" s="5">
        <v>944</v>
      </c>
      <c r="D52" s="5">
        <v>437</v>
      </c>
      <c r="E52" s="5">
        <v>143962</v>
      </c>
      <c r="F52" s="5">
        <v>1082</v>
      </c>
      <c r="G52" s="5">
        <v>59222</v>
      </c>
      <c r="H52" s="5">
        <v>16546</v>
      </c>
      <c r="I52" s="5">
        <v>24439</v>
      </c>
      <c r="J52" s="5">
        <v>44432</v>
      </c>
      <c r="K52" s="5">
        <v>-513</v>
      </c>
      <c r="L52" s="5">
        <v>500</v>
      </c>
      <c r="M52" s="5">
        <v>345486</v>
      </c>
      <c r="N52" s="5">
        <v>7588</v>
      </c>
      <c r="O52" s="5">
        <v>31793</v>
      </c>
      <c r="P52" s="5">
        <v>32027</v>
      </c>
    </row>
    <row r="53" spans="1:16" x14ac:dyDescent="0.35">
      <c r="A53" s="6" t="s">
        <v>38</v>
      </c>
      <c r="B53" s="6"/>
      <c r="C53" s="6"/>
      <c r="D53" s="6"/>
      <c r="E53" s="6"/>
      <c r="F53" s="6"/>
      <c r="G53" s="6"/>
      <c r="H53" s="6"/>
      <c r="I53" s="6"/>
      <c r="J53" s="6"/>
      <c r="K53" s="6"/>
      <c r="L53" s="6"/>
      <c r="M53" s="6"/>
      <c r="N53" s="6"/>
      <c r="O53" s="6"/>
      <c r="P53" s="6"/>
    </row>
    <row r="54" spans="1:16" x14ac:dyDescent="0.35">
      <c r="A54" s="4">
        <v>2023</v>
      </c>
      <c r="B54" s="5">
        <v>567541</v>
      </c>
      <c r="C54" s="5">
        <v>9572</v>
      </c>
      <c r="D54" s="5">
        <v>4339</v>
      </c>
      <c r="E54" s="5">
        <v>1522502</v>
      </c>
      <c r="F54" s="5">
        <v>9757</v>
      </c>
      <c r="G54" s="5">
        <v>643761</v>
      </c>
      <c r="H54" s="5">
        <v>208949</v>
      </c>
      <c r="I54" s="5">
        <v>145972</v>
      </c>
      <c r="J54" s="5">
        <v>399246</v>
      </c>
      <c r="K54" s="5">
        <v>-5129</v>
      </c>
      <c r="L54" s="5">
        <v>8245</v>
      </c>
      <c r="M54" s="5">
        <v>3514754</v>
      </c>
      <c r="N54" s="5">
        <v>63974</v>
      </c>
      <c r="O54" s="5">
        <v>207371</v>
      </c>
      <c r="P54" s="5">
        <v>209946</v>
      </c>
    </row>
    <row r="55" spans="1:16" x14ac:dyDescent="0.35">
      <c r="A55" s="4">
        <v>2024</v>
      </c>
      <c r="B55" s="5">
        <v>544431</v>
      </c>
      <c r="C55" s="5">
        <v>9357</v>
      </c>
      <c r="D55" s="5">
        <v>3105</v>
      </c>
      <c r="E55" s="5">
        <v>1584586</v>
      </c>
      <c r="F55" s="5">
        <v>9126</v>
      </c>
      <c r="G55" s="5">
        <v>648761</v>
      </c>
      <c r="H55" s="5">
        <v>206639</v>
      </c>
      <c r="I55" s="5">
        <v>193392</v>
      </c>
      <c r="J55" s="5">
        <v>423596</v>
      </c>
      <c r="K55" s="5">
        <v>-4881</v>
      </c>
      <c r="L55" s="5">
        <v>6879</v>
      </c>
      <c r="M55" s="5">
        <v>3624991</v>
      </c>
      <c r="N55" s="5">
        <v>73541</v>
      </c>
      <c r="O55" s="5">
        <v>264070</v>
      </c>
      <c r="P55" s="5">
        <v>266933</v>
      </c>
    </row>
    <row r="56" spans="1:16" x14ac:dyDescent="0.35">
      <c r="A56" s="4">
        <v>2025</v>
      </c>
      <c r="B56" s="5">
        <v>616331</v>
      </c>
      <c r="C56" s="5">
        <v>11512</v>
      </c>
      <c r="D56" s="5">
        <v>4262</v>
      </c>
      <c r="E56" s="5">
        <v>1527594</v>
      </c>
      <c r="F56" s="5">
        <v>9037</v>
      </c>
      <c r="G56" s="5">
        <v>648450</v>
      </c>
      <c r="H56" s="5">
        <v>204619</v>
      </c>
      <c r="I56" s="5">
        <v>260117</v>
      </c>
      <c r="J56" s="5">
        <v>427973</v>
      </c>
      <c r="K56" s="5">
        <v>-4248</v>
      </c>
      <c r="L56" s="5">
        <v>5552</v>
      </c>
      <c r="M56" s="5">
        <v>3711198</v>
      </c>
      <c r="N56" s="5">
        <v>81887</v>
      </c>
      <c r="O56" s="5">
        <v>339395</v>
      </c>
      <c r="P56" s="5">
        <v>342004</v>
      </c>
    </row>
    <row r="57" spans="1:16" x14ac:dyDescent="0.35">
      <c r="A57" s="6" t="s">
        <v>39</v>
      </c>
      <c r="B57" s="6"/>
      <c r="C57" s="6"/>
      <c r="D57" s="6"/>
      <c r="E57" s="6"/>
      <c r="F57" s="6"/>
      <c r="G57" s="6"/>
      <c r="H57" s="6"/>
      <c r="I57" s="6"/>
      <c r="J57" s="6"/>
      <c r="K57" s="6"/>
      <c r="L57" s="6"/>
      <c r="M57" s="6"/>
      <c r="N57" s="6"/>
      <c r="O57" s="6"/>
      <c r="P57" s="6"/>
    </row>
    <row r="58" spans="1:16" x14ac:dyDescent="0.35">
      <c r="A58" s="4">
        <v>2024</v>
      </c>
      <c r="B58" s="5">
        <v>652005</v>
      </c>
      <c r="C58" s="5">
        <v>11182</v>
      </c>
      <c r="D58" s="5">
        <v>3602</v>
      </c>
      <c r="E58" s="5">
        <v>1868146</v>
      </c>
      <c r="F58" s="5">
        <v>11147</v>
      </c>
      <c r="G58" s="5">
        <v>779873</v>
      </c>
      <c r="H58" s="5">
        <v>242693</v>
      </c>
      <c r="I58" s="5">
        <v>212950</v>
      </c>
      <c r="J58" s="5">
        <v>509059</v>
      </c>
      <c r="K58" s="5">
        <v>-5742</v>
      </c>
      <c r="L58" s="5">
        <v>8592</v>
      </c>
      <c r="M58" s="5">
        <v>4293508</v>
      </c>
      <c r="N58" s="5">
        <v>82973</v>
      </c>
      <c r="O58" s="5">
        <v>292788</v>
      </c>
      <c r="P58" s="5">
        <v>295923</v>
      </c>
    </row>
    <row r="59" spans="1:16" x14ac:dyDescent="0.35">
      <c r="A59" s="4">
        <v>2025</v>
      </c>
      <c r="B59" s="5">
        <v>724055</v>
      </c>
      <c r="C59" s="5">
        <v>13611</v>
      </c>
      <c r="D59" s="5">
        <v>4786</v>
      </c>
      <c r="E59" s="5">
        <v>1812911</v>
      </c>
      <c r="F59" s="5">
        <v>10756</v>
      </c>
      <c r="G59" s="5">
        <v>781554</v>
      </c>
      <c r="H59" s="5">
        <v>240875</v>
      </c>
      <c r="I59" s="5">
        <v>286559</v>
      </c>
      <c r="J59" s="5">
        <v>518110</v>
      </c>
      <c r="K59" s="5">
        <v>-5219</v>
      </c>
      <c r="L59" s="5">
        <v>6843</v>
      </c>
      <c r="M59" s="5">
        <v>4394841</v>
      </c>
      <c r="N59" s="5">
        <v>92264</v>
      </c>
      <c r="O59" s="5">
        <v>375958</v>
      </c>
      <c r="P59" s="5">
        <v>378824</v>
      </c>
    </row>
    <row r="60" spans="1:16" ht="238" customHeight="1" x14ac:dyDescent="0.35">
      <c r="A60" s="7" t="s">
        <v>40</v>
      </c>
      <c r="B60" s="7"/>
      <c r="C60" s="7"/>
      <c r="D60" s="7"/>
      <c r="E60" s="7"/>
      <c r="F60" s="7"/>
      <c r="G60" s="7"/>
      <c r="H60" s="7"/>
      <c r="I60" s="7"/>
      <c r="J60" s="7"/>
      <c r="K60" s="7"/>
      <c r="L60" s="7"/>
      <c r="M60" s="7"/>
      <c r="N60" s="7"/>
      <c r="O60" s="7"/>
      <c r="P60" s="7"/>
    </row>
  </sheetData>
  <mergeCells count="11">
    <mergeCell ref="A16:P16"/>
    <mergeCell ref="A1:P1"/>
    <mergeCell ref="A2:P2"/>
    <mergeCell ref="B3:M3"/>
    <mergeCell ref="O3:P3"/>
    <mergeCell ref="A5:P5"/>
    <mergeCell ref="A29:P29"/>
    <mergeCell ref="A42:P42"/>
    <mergeCell ref="A53:P53"/>
    <mergeCell ref="A57:P57"/>
    <mergeCell ref="A60:P60"/>
  </mergeCells>
  <pageMargins left="0.75" right="0.75" top="1" bottom="1" header="0.5" footer="0.5"/>
  <pageSetup scale="35" orientation="landscape" horizontalDpi="300" verticalDpi="300" r:id="rId1"/>
  <headerFooter>
    <oddHeader>&amp;R12/18/2025  8:36:20 AM</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5734-26A0-4006-A8E2-038CD8055F8D}">
  <dimension ref="A1:N60"/>
  <sheetViews>
    <sheetView workbookViewId="0">
      <selection activeCell="A15" activeCellId="1" sqref="A3:N4 A15:N15"/>
    </sheetView>
  </sheetViews>
  <sheetFormatPr defaultRowHeight="14.5" x14ac:dyDescent="0.35"/>
  <sheetData>
    <row r="1" spans="1:14" ht="15.5" x14ac:dyDescent="0.35">
      <c r="A1" s="8" t="s">
        <v>41</v>
      </c>
      <c r="B1" s="8"/>
      <c r="C1" s="8"/>
      <c r="D1" s="8"/>
      <c r="E1" s="8"/>
      <c r="F1" s="8"/>
      <c r="G1" s="8"/>
      <c r="H1" s="8"/>
      <c r="I1" s="8"/>
      <c r="J1" s="8"/>
      <c r="K1" s="8"/>
      <c r="L1" s="8"/>
      <c r="M1" s="8"/>
      <c r="N1" s="8"/>
    </row>
    <row r="2" spans="1:14" ht="15.5" x14ac:dyDescent="0.35">
      <c r="A2" s="8" t="s">
        <v>54</v>
      </c>
      <c r="B2" s="8"/>
      <c r="C2" s="8"/>
      <c r="D2" s="8"/>
      <c r="E2" s="8"/>
      <c r="F2" s="8"/>
      <c r="G2" s="8"/>
      <c r="H2" s="8"/>
      <c r="I2" s="8"/>
      <c r="J2" s="8"/>
      <c r="K2" s="8"/>
      <c r="L2" s="8"/>
      <c r="M2" s="8"/>
      <c r="N2" s="8"/>
    </row>
    <row r="3" spans="1:14" ht="52.5" x14ac:dyDescent="0.35">
      <c r="A3" s="2" t="s">
        <v>2</v>
      </c>
      <c r="B3" s="9" t="s">
        <v>3</v>
      </c>
      <c r="C3" s="10"/>
      <c r="D3" s="10"/>
      <c r="E3" s="10"/>
      <c r="F3" s="10"/>
      <c r="G3" s="10"/>
      <c r="H3" s="10"/>
      <c r="I3" s="10"/>
      <c r="J3" s="10"/>
      <c r="K3" s="11"/>
      <c r="L3" s="2" t="s">
        <v>4</v>
      </c>
      <c r="M3" s="9" t="s">
        <v>42</v>
      </c>
      <c r="N3" s="11"/>
    </row>
    <row r="4" spans="1:14" ht="104.5" x14ac:dyDescent="0.35">
      <c r="A4" s="2" t="s">
        <v>6</v>
      </c>
      <c r="B4" s="3" t="s">
        <v>43</v>
      </c>
      <c r="C4" s="3" t="s">
        <v>44</v>
      </c>
      <c r="D4" s="3" t="s">
        <v>45</v>
      </c>
      <c r="E4" s="3" t="s">
        <v>46</v>
      </c>
      <c r="F4" s="3" t="s">
        <v>47</v>
      </c>
      <c r="G4" s="3" t="s">
        <v>48</v>
      </c>
      <c r="H4" s="3" t="s">
        <v>49</v>
      </c>
      <c r="I4" s="3" t="s">
        <v>50</v>
      </c>
      <c r="J4" s="3" t="s">
        <v>51</v>
      </c>
      <c r="K4" s="3" t="s">
        <v>52</v>
      </c>
      <c r="L4" s="3" t="s">
        <v>19</v>
      </c>
      <c r="M4" s="3" t="s">
        <v>20</v>
      </c>
      <c r="N4" s="3" t="s">
        <v>21</v>
      </c>
    </row>
    <row r="5" spans="1:14" x14ac:dyDescent="0.35">
      <c r="A5" s="6" t="s">
        <v>22</v>
      </c>
      <c r="B5" s="6"/>
      <c r="C5" s="6"/>
      <c r="D5" s="6"/>
      <c r="E5" s="6"/>
      <c r="F5" s="6"/>
      <c r="G5" s="6"/>
      <c r="H5" s="6"/>
      <c r="I5" s="6"/>
      <c r="J5" s="6"/>
      <c r="K5" s="6"/>
      <c r="L5" s="6"/>
      <c r="M5" s="6"/>
      <c r="N5" s="6"/>
    </row>
    <row r="6" spans="1:14" x14ac:dyDescent="0.35">
      <c r="A6" s="4">
        <v>2015</v>
      </c>
      <c r="B6" s="5">
        <v>190719</v>
      </c>
      <c r="C6" s="5">
        <v>21666</v>
      </c>
      <c r="D6" s="5">
        <v>3227</v>
      </c>
      <c r="E6" s="5">
        <v>41929</v>
      </c>
      <c r="F6" s="5">
        <v>11291</v>
      </c>
      <c r="G6" s="5">
        <v>7211</v>
      </c>
      <c r="H6" s="5">
        <v>3201</v>
      </c>
      <c r="I6" s="5">
        <v>15918</v>
      </c>
      <c r="J6" s="5">
        <v>249080</v>
      </c>
      <c r="K6" s="5">
        <v>544241</v>
      </c>
      <c r="L6" s="5">
        <v>14139</v>
      </c>
      <c r="M6" s="5">
        <v>35805</v>
      </c>
      <c r="N6" s="5">
        <v>39032</v>
      </c>
    </row>
    <row r="7" spans="1:14" x14ac:dyDescent="0.35">
      <c r="A7" s="4">
        <v>2016</v>
      </c>
      <c r="B7" s="5">
        <v>226993</v>
      </c>
      <c r="C7" s="5">
        <v>32670</v>
      </c>
      <c r="D7" s="5">
        <v>3384</v>
      </c>
      <c r="E7" s="5">
        <v>40947</v>
      </c>
      <c r="F7" s="5">
        <v>11218</v>
      </c>
      <c r="G7" s="5">
        <v>7265</v>
      </c>
      <c r="H7" s="5">
        <v>3331</v>
      </c>
      <c r="I7" s="5">
        <v>15826</v>
      </c>
      <c r="J7" s="5">
        <v>267812</v>
      </c>
      <c r="K7" s="5">
        <v>609445</v>
      </c>
      <c r="L7" s="5">
        <v>18812</v>
      </c>
      <c r="M7" s="5">
        <v>51483</v>
      </c>
      <c r="N7" s="5">
        <v>54866</v>
      </c>
    </row>
    <row r="8" spans="1:14" x14ac:dyDescent="0.35">
      <c r="A8" s="4">
        <v>2017</v>
      </c>
      <c r="B8" s="5">
        <v>254303</v>
      </c>
      <c r="C8" s="5">
        <v>50018</v>
      </c>
      <c r="D8" s="5">
        <v>3269</v>
      </c>
      <c r="E8" s="5">
        <v>41124</v>
      </c>
      <c r="F8" s="5">
        <v>11543</v>
      </c>
      <c r="G8" s="5">
        <v>6951</v>
      </c>
      <c r="H8" s="5">
        <v>3115</v>
      </c>
      <c r="I8" s="5">
        <v>15927</v>
      </c>
      <c r="J8" s="5">
        <v>300333</v>
      </c>
      <c r="K8" s="5">
        <v>686583</v>
      </c>
      <c r="L8" s="5">
        <v>23990</v>
      </c>
      <c r="M8" s="5">
        <v>74008</v>
      </c>
      <c r="N8" s="5">
        <v>77277</v>
      </c>
    </row>
    <row r="9" spans="1:14" x14ac:dyDescent="0.35">
      <c r="A9" s="4">
        <v>2018</v>
      </c>
      <c r="B9" s="5">
        <v>272667</v>
      </c>
      <c r="C9" s="5">
        <v>60234</v>
      </c>
      <c r="D9" s="5">
        <v>3592</v>
      </c>
      <c r="E9" s="5">
        <v>40936</v>
      </c>
      <c r="F9" s="5">
        <v>11036</v>
      </c>
      <c r="G9" s="5">
        <v>7136</v>
      </c>
      <c r="H9" s="5">
        <v>2724</v>
      </c>
      <c r="I9" s="5">
        <v>15967</v>
      </c>
      <c r="J9" s="5">
        <v>292524</v>
      </c>
      <c r="K9" s="5">
        <v>706816</v>
      </c>
      <c r="L9" s="5">
        <v>29539</v>
      </c>
      <c r="M9" s="5">
        <v>89773</v>
      </c>
      <c r="N9" s="5">
        <v>93365</v>
      </c>
    </row>
    <row r="10" spans="1:14" x14ac:dyDescent="0.35">
      <c r="A10" s="4">
        <v>2019</v>
      </c>
      <c r="B10" s="5">
        <v>295882</v>
      </c>
      <c r="C10" s="5">
        <v>68719</v>
      </c>
      <c r="D10" s="5">
        <v>3218</v>
      </c>
      <c r="E10" s="5">
        <v>38543</v>
      </c>
      <c r="F10" s="5">
        <v>10468</v>
      </c>
      <c r="G10" s="5">
        <v>6093</v>
      </c>
      <c r="H10" s="5">
        <v>2402</v>
      </c>
      <c r="I10" s="5">
        <v>15473</v>
      </c>
      <c r="J10" s="5">
        <v>287874</v>
      </c>
      <c r="K10" s="5">
        <v>728673</v>
      </c>
      <c r="L10" s="5">
        <v>34957</v>
      </c>
      <c r="M10" s="5">
        <v>103676</v>
      </c>
      <c r="N10" s="5">
        <v>106894</v>
      </c>
    </row>
    <row r="11" spans="1:14" x14ac:dyDescent="0.35">
      <c r="A11" s="4">
        <v>2020</v>
      </c>
      <c r="B11" s="5">
        <v>337938</v>
      </c>
      <c r="C11" s="5">
        <v>86066</v>
      </c>
      <c r="D11" s="5">
        <v>3133</v>
      </c>
      <c r="E11" s="5">
        <v>36219</v>
      </c>
      <c r="F11" s="5">
        <v>10212</v>
      </c>
      <c r="G11" s="5">
        <v>6080</v>
      </c>
      <c r="H11" s="5">
        <v>2201</v>
      </c>
      <c r="I11" s="5">
        <v>15890</v>
      </c>
      <c r="J11" s="5">
        <v>285274</v>
      </c>
      <c r="K11" s="5">
        <v>783012</v>
      </c>
      <c r="L11" s="5">
        <v>41522</v>
      </c>
      <c r="M11" s="5">
        <v>127588</v>
      </c>
      <c r="N11" s="5">
        <v>130721</v>
      </c>
    </row>
    <row r="12" spans="1:14" x14ac:dyDescent="0.35">
      <c r="A12" s="4">
        <v>2021</v>
      </c>
      <c r="B12" s="5">
        <v>378197</v>
      </c>
      <c r="C12" s="5">
        <v>112335</v>
      </c>
      <c r="D12" s="5">
        <v>2924</v>
      </c>
      <c r="E12" s="5">
        <v>36463</v>
      </c>
      <c r="F12" s="5">
        <v>9421</v>
      </c>
      <c r="G12" s="5">
        <v>6101</v>
      </c>
      <c r="H12" s="5">
        <v>2267</v>
      </c>
      <c r="I12" s="5">
        <v>15975</v>
      </c>
      <c r="J12" s="5">
        <v>251585</v>
      </c>
      <c r="K12" s="5">
        <v>815267</v>
      </c>
      <c r="L12" s="5">
        <v>49164</v>
      </c>
      <c r="M12" s="5">
        <v>161499</v>
      </c>
      <c r="N12" s="5">
        <v>164422</v>
      </c>
    </row>
    <row r="13" spans="1:14" x14ac:dyDescent="0.35">
      <c r="A13" s="4">
        <v>2022</v>
      </c>
      <c r="B13" s="5">
        <v>434297</v>
      </c>
      <c r="C13" s="5">
        <v>140793</v>
      </c>
      <c r="D13" s="5">
        <v>2999</v>
      </c>
      <c r="E13" s="5">
        <v>35466</v>
      </c>
      <c r="F13" s="5">
        <v>8535</v>
      </c>
      <c r="G13" s="5">
        <v>5776</v>
      </c>
      <c r="H13" s="5">
        <v>2073</v>
      </c>
      <c r="I13" s="5">
        <v>16087</v>
      </c>
      <c r="J13" s="5">
        <v>254789</v>
      </c>
      <c r="K13" s="5">
        <v>900814</v>
      </c>
      <c r="L13" s="5">
        <v>61282</v>
      </c>
      <c r="M13" s="5">
        <v>202075</v>
      </c>
      <c r="N13" s="5">
        <v>205074</v>
      </c>
    </row>
    <row r="14" spans="1:14" x14ac:dyDescent="0.35">
      <c r="A14" s="4">
        <v>2023</v>
      </c>
      <c r="B14" s="5">
        <v>421141</v>
      </c>
      <c r="C14" s="5">
        <v>162683</v>
      </c>
      <c r="D14" s="5">
        <v>2847</v>
      </c>
      <c r="E14" s="5">
        <v>31615</v>
      </c>
      <c r="F14" s="5">
        <v>7935</v>
      </c>
      <c r="G14" s="5">
        <v>5568</v>
      </c>
      <c r="H14" s="5">
        <v>2082</v>
      </c>
      <c r="I14" s="5">
        <v>16367</v>
      </c>
      <c r="J14" s="5">
        <v>245002</v>
      </c>
      <c r="K14" s="5">
        <v>895241</v>
      </c>
      <c r="L14" s="5">
        <v>73406</v>
      </c>
      <c r="M14" s="5">
        <v>236090</v>
      </c>
      <c r="N14" s="5">
        <v>238937</v>
      </c>
    </row>
    <row r="15" spans="1:14" x14ac:dyDescent="0.35">
      <c r="A15" s="4">
        <v>2024</v>
      </c>
      <c r="B15" s="5">
        <v>451904</v>
      </c>
      <c r="C15" s="5">
        <v>216715</v>
      </c>
      <c r="D15" s="5">
        <v>3118</v>
      </c>
      <c r="E15" s="5">
        <v>31564</v>
      </c>
      <c r="F15" s="5">
        <v>7341</v>
      </c>
      <c r="G15" s="5">
        <v>5402</v>
      </c>
      <c r="H15" s="5">
        <v>2115</v>
      </c>
      <c r="I15" s="5">
        <v>15407</v>
      </c>
      <c r="J15" s="5">
        <v>242896</v>
      </c>
      <c r="K15" s="5">
        <v>976463</v>
      </c>
      <c r="L15" s="5">
        <v>83918</v>
      </c>
      <c r="M15" s="5">
        <v>300634</v>
      </c>
      <c r="N15" s="5">
        <v>303752</v>
      </c>
    </row>
    <row r="16" spans="1:14" x14ac:dyDescent="0.35">
      <c r="A16" s="6" t="s">
        <v>23</v>
      </c>
      <c r="B16" s="6"/>
      <c r="C16" s="6"/>
      <c r="D16" s="6"/>
      <c r="E16" s="6"/>
      <c r="F16" s="6"/>
      <c r="G16" s="6"/>
      <c r="H16" s="6"/>
      <c r="I16" s="6"/>
      <c r="J16" s="6"/>
      <c r="K16" s="6"/>
      <c r="L16" s="6"/>
      <c r="M16" s="6"/>
      <c r="N16" s="6"/>
    </row>
    <row r="17" spans="1:14" x14ac:dyDescent="0.35">
      <c r="A17" s="4" t="s">
        <v>24</v>
      </c>
      <c r="B17" s="5">
        <v>38358</v>
      </c>
      <c r="C17" s="5">
        <v>7722</v>
      </c>
      <c r="D17" s="5">
        <v>84</v>
      </c>
      <c r="E17" s="5">
        <v>2920</v>
      </c>
      <c r="F17" s="5">
        <v>694</v>
      </c>
      <c r="G17" s="5">
        <v>483</v>
      </c>
      <c r="H17" s="5">
        <v>168</v>
      </c>
      <c r="I17" s="5">
        <v>1420</v>
      </c>
      <c r="J17" s="5">
        <v>22754</v>
      </c>
      <c r="K17" s="5">
        <v>74603</v>
      </c>
      <c r="L17" s="5">
        <v>3989</v>
      </c>
      <c r="M17" s="5">
        <v>11711</v>
      </c>
      <c r="N17" s="5">
        <v>11795</v>
      </c>
    </row>
    <row r="18" spans="1:14" x14ac:dyDescent="0.35">
      <c r="A18" s="4" t="s">
        <v>25</v>
      </c>
      <c r="B18" s="5">
        <v>41424</v>
      </c>
      <c r="C18" s="5">
        <v>9326</v>
      </c>
      <c r="D18" s="5">
        <v>109</v>
      </c>
      <c r="E18" s="5">
        <v>2533</v>
      </c>
      <c r="F18" s="5">
        <v>614</v>
      </c>
      <c r="G18" s="5">
        <v>420</v>
      </c>
      <c r="H18" s="5">
        <v>174</v>
      </c>
      <c r="I18" s="5">
        <v>1302</v>
      </c>
      <c r="J18" s="5">
        <v>19961</v>
      </c>
      <c r="K18" s="5">
        <v>75863</v>
      </c>
      <c r="L18" s="5">
        <v>4387</v>
      </c>
      <c r="M18" s="5">
        <v>13713</v>
      </c>
      <c r="N18" s="5">
        <v>13822</v>
      </c>
    </row>
    <row r="19" spans="1:14" x14ac:dyDescent="0.35">
      <c r="A19" s="4" t="s">
        <v>26</v>
      </c>
      <c r="B19" s="5">
        <v>43584</v>
      </c>
      <c r="C19" s="5">
        <v>12059</v>
      </c>
      <c r="D19" s="5">
        <v>154</v>
      </c>
      <c r="E19" s="5">
        <v>2704</v>
      </c>
      <c r="F19" s="5">
        <v>670</v>
      </c>
      <c r="G19" s="5">
        <v>446</v>
      </c>
      <c r="H19" s="5">
        <v>162</v>
      </c>
      <c r="I19" s="5">
        <v>1442</v>
      </c>
      <c r="J19" s="5">
        <v>21331</v>
      </c>
      <c r="K19" s="5">
        <v>82552</v>
      </c>
      <c r="L19" s="5">
        <v>6005</v>
      </c>
      <c r="M19" s="5">
        <v>18064</v>
      </c>
      <c r="N19" s="5">
        <v>18218</v>
      </c>
    </row>
    <row r="20" spans="1:14" x14ac:dyDescent="0.35">
      <c r="A20" s="4" t="s">
        <v>27</v>
      </c>
      <c r="B20" s="5">
        <v>42746</v>
      </c>
      <c r="C20" s="5">
        <v>14767</v>
      </c>
      <c r="D20" s="5">
        <v>295</v>
      </c>
      <c r="E20" s="5">
        <v>2336</v>
      </c>
      <c r="F20" s="5">
        <v>623</v>
      </c>
      <c r="G20" s="5">
        <v>409</v>
      </c>
      <c r="H20" s="5">
        <v>157</v>
      </c>
      <c r="I20" s="5">
        <v>1356</v>
      </c>
      <c r="J20" s="5">
        <v>19820</v>
      </c>
      <c r="K20" s="5">
        <v>82507</v>
      </c>
      <c r="L20" s="5">
        <v>6742</v>
      </c>
      <c r="M20" s="5">
        <v>21509</v>
      </c>
      <c r="N20" s="5">
        <v>21803</v>
      </c>
    </row>
    <row r="21" spans="1:14" x14ac:dyDescent="0.35">
      <c r="A21" s="4" t="s">
        <v>28</v>
      </c>
      <c r="B21" s="5">
        <v>32227</v>
      </c>
      <c r="C21" s="5">
        <v>16981</v>
      </c>
      <c r="D21" s="5">
        <v>300</v>
      </c>
      <c r="E21" s="5">
        <v>2654</v>
      </c>
      <c r="F21" s="5">
        <v>692</v>
      </c>
      <c r="G21" s="5">
        <v>475</v>
      </c>
      <c r="H21" s="5">
        <v>176</v>
      </c>
      <c r="I21" s="5">
        <v>1345</v>
      </c>
      <c r="J21" s="5">
        <v>27651</v>
      </c>
      <c r="K21" s="5">
        <v>82502</v>
      </c>
      <c r="L21" s="5">
        <v>7543</v>
      </c>
      <c r="M21" s="5">
        <v>24525</v>
      </c>
      <c r="N21" s="5">
        <v>24824</v>
      </c>
    </row>
    <row r="22" spans="1:14" x14ac:dyDescent="0.35">
      <c r="A22" s="4" t="s">
        <v>29</v>
      </c>
      <c r="B22" s="5">
        <v>27547</v>
      </c>
      <c r="C22" s="5">
        <v>17469</v>
      </c>
      <c r="D22" s="5">
        <v>365</v>
      </c>
      <c r="E22" s="5">
        <v>2579</v>
      </c>
      <c r="F22" s="5">
        <v>666</v>
      </c>
      <c r="G22" s="5">
        <v>483</v>
      </c>
      <c r="H22" s="5">
        <v>159</v>
      </c>
      <c r="I22" s="5">
        <v>1293</v>
      </c>
      <c r="J22" s="5">
        <v>21572</v>
      </c>
      <c r="K22" s="5">
        <v>72134</v>
      </c>
      <c r="L22" s="5">
        <v>7405</v>
      </c>
      <c r="M22" s="5">
        <v>24874</v>
      </c>
      <c r="N22" s="5">
        <v>25239</v>
      </c>
    </row>
    <row r="23" spans="1:14" x14ac:dyDescent="0.35">
      <c r="A23" s="4" t="s">
        <v>30</v>
      </c>
      <c r="B23" s="5">
        <v>28005</v>
      </c>
      <c r="C23" s="5">
        <v>18514</v>
      </c>
      <c r="D23" s="5">
        <v>380</v>
      </c>
      <c r="E23" s="5">
        <v>2758</v>
      </c>
      <c r="F23" s="5">
        <v>674</v>
      </c>
      <c r="G23" s="5">
        <v>497</v>
      </c>
      <c r="H23" s="5">
        <v>165</v>
      </c>
      <c r="I23" s="5">
        <v>1296</v>
      </c>
      <c r="J23" s="5">
        <v>21978</v>
      </c>
      <c r="K23" s="5">
        <v>74266</v>
      </c>
      <c r="L23" s="5">
        <v>7720</v>
      </c>
      <c r="M23" s="5">
        <v>26234</v>
      </c>
      <c r="N23" s="5">
        <v>26614</v>
      </c>
    </row>
    <row r="24" spans="1:14" x14ac:dyDescent="0.35">
      <c r="A24" s="4" t="s">
        <v>31</v>
      </c>
      <c r="B24" s="5">
        <v>28394</v>
      </c>
      <c r="C24" s="5">
        <v>17435</v>
      </c>
      <c r="D24" s="5">
        <v>309</v>
      </c>
      <c r="E24" s="5">
        <v>2884</v>
      </c>
      <c r="F24" s="5">
        <v>680</v>
      </c>
      <c r="G24" s="5">
        <v>482</v>
      </c>
      <c r="H24" s="5">
        <v>174</v>
      </c>
      <c r="I24" s="5">
        <v>1267</v>
      </c>
      <c r="J24" s="5">
        <v>21293</v>
      </c>
      <c r="K24" s="5">
        <v>72919</v>
      </c>
      <c r="L24" s="5">
        <v>7504</v>
      </c>
      <c r="M24" s="5">
        <v>24938</v>
      </c>
      <c r="N24" s="5">
        <v>25248</v>
      </c>
    </row>
    <row r="25" spans="1:14" x14ac:dyDescent="0.35">
      <c r="A25" s="4" t="s">
        <v>32</v>
      </c>
      <c r="B25" s="5">
        <v>28353</v>
      </c>
      <c r="C25" s="5">
        <v>15290</v>
      </c>
      <c r="D25" s="5">
        <v>293</v>
      </c>
      <c r="E25" s="5">
        <v>2573</v>
      </c>
      <c r="F25" s="5">
        <v>629</v>
      </c>
      <c r="G25" s="5">
        <v>441</v>
      </c>
      <c r="H25" s="5">
        <v>160</v>
      </c>
      <c r="I25" s="5">
        <v>1315</v>
      </c>
      <c r="J25" s="5">
        <v>16916</v>
      </c>
      <c r="K25" s="5">
        <v>65968</v>
      </c>
      <c r="L25" s="5">
        <v>6604</v>
      </c>
      <c r="M25" s="5">
        <v>21894</v>
      </c>
      <c r="N25" s="5">
        <v>22187</v>
      </c>
    </row>
    <row r="26" spans="1:14" x14ac:dyDescent="0.35">
      <c r="A26" s="4" t="s">
        <v>33</v>
      </c>
      <c r="B26" s="5">
        <v>36020</v>
      </c>
      <c r="C26" s="5">
        <v>13834</v>
      </c>
      <c r="D26" s="5">
        <v>287</v>
      </c>
      <c r="E26" s="5">
        <v>2317</v>
      </c>
      <c r="F26" s="5">
        <v>649</v>
      </c>
      <c r="G26" s="5">
        <v>463</v>
      </c>
      <c r="H26" s="5">
        <v>191</v>
      </c>
      <c r="I26" s="5">
        <v>1420</v>
      </c>
      <c r="J26" s="5">
        <v>15673</v>
      </c>
      <c r="K26" s="5">
        <v>70853</v>
      </c>
      <c r="L26" s="5">
        <v>6076</v>
      </c>
      <c r="M26" s="5">
        <v>19910</v>
      </c>
      <c r="N26" s="5">
        <v>20196</v>
      </c>
    </row>
    <row r="27" spans="1:14" ht="26" x14ac:dyDescent="0.35">
      <c r="A27" s="4" t="s">
        <v>34</v>
      </c>
      <c r="B27" s="5">
        <v>36445</v>
      </c>
      <c r="C27" s="5">
        <v>10280</v>
      </c>
      <c r="D27" s="5">
        <v>166</v>
      </c>
      <c r="E27" s="5">
        <v>2584</v>
      </c>
      <c r="F27" s="5">
        <v>651</v>
      </c>
      <c r="G27" s="5">
        <v>471</v>
      </c>
      <c r="H27" s="5">
        <v>183</v>
      </c>
      <c r="I27" s="5">
        <v>1440</v>
      </c>
      <c r="J27" s="5">
        <v>17026</v>
      </c>
      <c r="K27" s="5">
        <v>69246</v>
      </c>
      <c r="L27" s="5">
        <v>4938</v>
      </c>
      <c r="M27" s="5">
        <v>15218</v>
      </c>
      <c r="N27" s="5">
        <v>15384</v>
      </c>
    </row>
    <row r="28" spans="1:14" ht="26" x14ac:dyDescent="0.35">
      <c r="A28" s="4" t="s">
        <v>35</v>
      </c>
      <c r="B28" s="5">
        <v>38038</v>
      </c>
      <c r="C28" s="5">
        <v>9006</v>
      </c>
      <c r="D28" s="5">
        <v>106</v>
      </c>
      <c r="E28" s="5">
        <v>2774</v>
      </c>
      <c r="F28" s="5">
        <v>693</v>
      </c>
      <c r="G28" s="5">
        <v>498</v>
      </c>
      <c r="H28" s="5">
        <v>213</v>
      </c>
      <c r="I28" s="5">
        <v>1473</v>
      </c>
      <c r="J28" s="5">
        <v>19028</v>
      </c>
      <c r="K28" s="5">
        <v>71829</v>
      </c>
      <c r="L28" s="5">
        <v>4494</v>
      </c>
      <c r="M28" s="5">
        <v>13500</v>
      </c>
      <c r="N28" s="5">
        <v>13606</v>
      </c>
    </row>
    <row r="29" spans="1:14" x14ac:dyDescent="0.35">
      <c r="A29" s="6" t="s">
        <v>36</v>
      </c>
      <c r="B29" s="6"/>
      <c r="C29" s="6"/>
      <c r="D29" s="6"/>
      <c r="E29" s="6"/>
      <c r="F29" s="6"/>
      <c r="G29" s="6"/>
      <c r="H29" s="6"/>
      <c r="I29" s="6"/>
      <c r="J29" s="6"/>
      <c r="K29" s="6"/>
      <c r="L29" s="6"/>
      <c r="M29" s="6"/>
      <c r="N29" s="6"/>
    </row>
    <row r="30" spans="1:14" x14ac:dyDescent="0.35">
      <c r="A30" s="4" t="s">
        <v>24</v>
      </c>
      <c r="B30" s="5">
        <v>34791</v>
      </c>
      <c r="C30" s="5">
        <v>9504</v>
      </c>
      <c r="D30" s="5">
        <v>79</v>
      </c>
      <c r="E30" s="5">
        <v>2849</v>
      </c>
      <c r="F30" s="5">
        <v>642</v>
      </c>
      <c r="G30" s="5">
        <v>467</v>
      </c>
      <c r="H30" s="5">
        <v>186</v>
      </c>
      <c r="I30" s="5">
        <v>1399</v>
      </c>
      <c r="J30" s="5">
        <v>21554</v>
      </c>
      <c r="K30" s="5">
        <v>71471</v>
      </c>
      <c r="L30" s="5">
        <v>4726</v>
      </c>
      <c r="M30" s="5">
        <v>14230</v>
      </c>
      <c r="N30" s="5">
        <v>14309</v>
      </c>
    </row>
    <row r="31" spans="1:14" x14ac:dyDescent="0.35">
      <c r="A31" s="4" t="s">
        <v>25</v>
      </c>
      <c r="B31" s="5">
        <v>40982</v>
      </c>
      <c r="C31" s="5">
        <v>12421</v>
      </c>
      <c r="D31" s="5">
        <v>119</v>
      </c>
      <c r="E31" s="5">
        <v>2621</v>
      </c>
      <c r="F31" s="5">
        <v>605</v>
      </c>
      <c r="G31" s="5">
        <v>421</v>
      </c>
      <c r="H31" s="5">
        <v>176</v>
      </c>
      <c r="I31" s="5">
        <v>1303</v>
      </c>
      <c r="J31" s="5">
        <v>20795</v>
      </c>
      <c r="K31" s="5">
        <v>79444</v>
      </c>
      <c r="L31" s="5">
        <v>5342</v>
      </c>
      <c r="M31" s="5">
        <v>17763</v>
      </c>
      <c r="N31" s="5">
        <v>17882</v>
      </c>
    </row>
    <row r="32" spans="1:14" x14ac:dyDescent="0.35">
      <c r="A32" s="4" t="s">
        <v>26</v>
      </c>
      <c r="B32" s="5">
        <v>45102</v>
      </c>
      <c r="C32" s="5">
        <v>15798</v>
      </c>
      <c r="D32" s="5">
        <v>221</v>
      </c>
      <c r="E32" s="5">
        <v>2651</v>
      </c>
      <c r="F32" s="5">
        <v>638</v>
      </c>
      <c r="G32" s="5">
        <v>422</v>
      </c>
      <c r="H32" s="5">
        <v>181</v>
      </c>
      <c r="I32" s="5">
        <v>1359</v>
      </c>
      <c r="J32" s="5">
        <v>23363</v>
      </c>
      <c r="K32" s="5">
        <v>89736</v>
      </c>
      <c r="L32" s="5">
        <v>7113</v>
      </c>
      <c r="M32" s="5">
        <v>22911</v>
      </c>
      <c r="N32" s="5">
        <v>23132</v>
      </c>
    </row>
    <row r="33" spans="1:14" x14ac:dyDescent="0.35">
      <c r="A33" s="4" t="s">
        <v>27</v>
      </c>
      <c r="B33" s="5">
        <v>47088</v>
      </c>
      <c r="C33" s="5">
        <v>18909</v>
      </c>
      <c r="D33" s="5">
        <v>332</v>
      </c>
      <c r="E33" s="5">
        <v>2423</v>
      </c>
      <c r="F33" s="5">
        <v>583</v>
      </c>
      <c r="G33" s="5">
        <v>408</v>
      </c>
      <c r="H33" s="5">
        <v>158</v>
      </c>
      <c r="I33" s="5">
        <v>1280</v>
      </c>
      <c r="J33" s="5">
        <v>20916</v>
      </c>
      <c r="K33" s="5">
        <v>92097</v>
      </c>
      <c r="L33" s="5">
        <v>7832</v>
      </c>
      <c r="M33" s="5">
        <v>26741</v>
      </c>
      <c r="N33" s="5">
        <v>27073</v>
      </c>
    </row>
    <row r="34" spans="1:14" x14ac:dyDescent="0.35">
      <c r="A34" s="4" t="s">
        <v>28</v>
      </c>
      <c r="B34" s="5">
        <v>39256</v>
      </c>
      <c r="C34" s="5">
        <v>21957</v>
      </c>
      <c r="D34" s="5">
        <v>414</v>
      </c>
      <c r="E34" s="5">
        <v>2575</v>
      </c>
      <c r="F34" s="5">
        <v>638</v>
      </c>
      <c r="G34" s="5">
        <v>469</v>
      </c>
      <c r="H34" s="5">
        <v>176</v>
      </c>
      <c r="I34" s="5">
        <v>1246</v>
      </c>
      <c r="J34" s="5">
        <v>24477</v>
      </c>
      <c r="K34" s="5">
        <v>91209</v>
      </c>
      <c r="L34" s="5">
        <v>8539</v>
      </c>
      <c r="M34" s="5">
        <v>30496</v>
      </c>
      <c r="N34" s="5">
        <v>30910</v>
      </c>
    </row>
    <row r="35" spans="1:14" x14ac:dyDescent="0.35">
      <c r="A35" s="4" t="s">
        <v>29</v>
      </c>
      <c r="B35" s="5">
        <v>38661</v>
      </c>
      <c r="C35" s="5">
        <v>24045</v>
      </c>
      <c r="D35" s="5">
        <v>414</v>
      </c>
      <c r="E35" s="5">
        <v>2681</v>
      </c>
      <c r="F35" s="5">
        <v>593</v>
      </c>
      <c r="G35" s="5">
        <v>450</v>
      </c>
      <c r="H35" s="5">
        <v>168</v>
      </c>
      <c r="I35" s="5">
        <v>1202</v>
      </c>
      <c r="J35" s="5">
        <v>22397</v>
      </c>
      <c r="K35" s="5">
        <v>90610</v>
      </c>
      <c r="L35" s="5">
        <v>8553</v>
      </c>
      <c r="M35" s="5">
        <v>32598</v>
      </c>
      <c r="N35" s="5">
        <v>33012</v>
      </c>
    </row>
    <row r="36" spans="1:14" x14ac:dyDescent="0.35">
      <c r="A36" s="4" t="s">
        <v>30</v>
      </c>
      <c r="B36" s="5">
        <v>28304</v>
      </c>
      <c r="C36" s="5">
        <v>24122</v>
      </c>
      <c r="D36" s="5">
        <v>361</v>
      </c>
      <c r="E36" s="5">
        <v>2806</v>
      </c>
      <c r="F36" s="5">
        <v>624</v>
      </c>
      <c r="G36" s="5">
        <v>475</v>
      </c>
      <c r="H36" s="5">
        <v>166</v>
      </c>
      <c r="I36" s="5">
        <v>1218</v>
      </c>
      <c r="J36" s="5">
        <v>21384</v>
      </c>
      <c r="K36" s="5">
        <v>79460</v>
      </c>
      <c r="L36" s="5">
        <v>8778</v>
      </c>
      <c r="M36" s="5">
        <v>32901</v>
      </c>
      <c r="N36" s="5">
        <v>33262</v>
      </c>
    </row>
    <row r="37" spans="1:14" x14ac:dyDescent="0.35">
      <c r="A37" s="4" t="s">
        <v>31</v>
      </c>
      <c r="B37" s="5">
        <v>29290</v>
      </c>
      <c r="C37" s="5">
        <v>23974</v>
      </c>
      <c r="D37" s="5">
        <v>354</v>
      </c>
      <c r="E37" s="5">
        <v>2839</v>
      </c>
      <c r="F37" s="5">
        <v>641</v>
      </c>
      <c r="G37" s="5">
        <v>480</v>
      </c>
      <c r="H37" s="5">
        <v>175</v>
      </c>
      <c r="I37" s="5">
        <v>1227</v>
      </c>
      <c r="J37" s="5">
        <v>20491</v>
      </c>
      <c r="K37" s="5">
        <v>79472</v>
      </c>
      <c r="L37" s="5">
        <v>8412</v>
      </c>
      <c r="M37" s="5">
        <v>32387</v>
      </c>
      <c r="N37" s="5">
        <v>32741</v>
      </c>
    </row>
    <row r="38" spans="1:14" x14ac:dyDescent="0.35">
      <c r="A38" s="4" t="s">
        <v>32</v>
      </c>
      <c r="B38" s="5">
        <v>29178</v>
      </c>
      <c r="C38" s="5">
        <v>20203</v>
      </c>
      <c r="D38" s="5">
        <v>335</v>
      </c>
      <c r="E38" s="5">
        <v>2563</v>
      </c>
      <c r="F38" s="5">
        <v>604</v>
      </c>
      <c r="G38" s="5">
        <v>447</v>
      </c>
      <c r="H38" s="5">
        <v>170</v>
      </c>
      <c r="I38" s="5">
        <v>1201</v>
      </c>
      <c r="J38" s="5">
        <v>15911</v>
      </c>
      <c r="K38" s="5">
        <v>70614</v>
      </c>
      <c r="L38" s="5">
        <v>7511</v>
      </c>
      <c r="M38" s="5">
        <v>27714</v>
      </c>
      <c r="N38" s="5">
        <v>28049</v>
      </c>
    </row>
    <row r="39" spans="1:14" x14ac:dyDescent="0.35">
      <c r="A39" s="4" t="s">
        <v>33</v>
      </c>
      <c r="B39" s="5">
        <v>39592</v>
      </c>
      <c r="C39" s="5">
        <v>19595</v>
      </c>
      <c r="D39" s="5">
        <v>233</v>
      </c>
      <c r="E39" s="5">
        <v>2240</v>
      </c>
      <c r="F39" s="5">
        <v>608</v>
      </c>
      <c r="G39" s="5">
        <v>448</v>
      </c>
      <c r="H39" s="5">
        <v>187</v>
      </c>
      <c r="I39" s="5">
        <v>1261</v>
      </c>
      <c r="J39" s="5">
        <v>15352</v>
      </c>
      <c r="K39" s="5">
        <v>79514</v>
      </c>
      <c r="L39" s="5">
        <v>6736</v>
      </c>
      <c r="M39" s="5">
        <v>26331</v>
      </c>
      <c r="N39" s="5">
        <v>26564</v>
      </c>
    </row>
    <row r="40" spans="1:14" ht="26" x14ac:dyDescent="0.35">
      <c r="A40" s="4" t="s">
        <v>34</v>
      </c>
      <c r="B40" s="5">
        <v>40133</v>
      </c>
      <c r="C40" s="5">
        <v>13705</v>
      </c>
      <c r="D40" s="5">
        <v>136</v>
      </c>
      <c r="E40" s="5">
        <v>2550</v>
      </c>
      <c r="F40" s="5">
        <v>577</v>
      </c>
      <c r="G40" s="5">
        <v>456</v>
      </c>
      <c r="H40" s="5">
        <v>180</v>
      </c>
      <c r="I40" s="5">
        <v>1317</v>
      </c>
      <c r="J40" s="5">
        <v>16723</v>
      </c>
      <c r="K40" s="5">
        <v>75779</v>
      </c>
      <c r="L40" s="5">
        <v>5393</v>
      </c>
      <c r="M40" s="5">
        <v>19098</v>
      </c>
      <c r="N40" s="5">
        <v>19234</v>
      </c>
    </row>
    <row r="41" spans="1:14" ht="26" x14ac:dyDescent="0.35">
      <c r="A41" s="4" t="s">
        <v>35</v>
      </c>
      <c r="B41" s="5">
        <v>39527</v>
      </c>
      <c r="C41" s="5">
        <v>12481</v>
      </c>
      <c r="D41" s="5">
        <v>120</v>
      </c>
      <c r="E41" s="5">
        <v>2765</v>
      </c>
      <c r="F41" s="5">
        <v>588</v>
      </c>
      <c r="G41" s="5">
        <v>457</v>
      </c>
      <c r="H41" s="5">
        <v>192</v>
      </c>
      <c r="I41" s="5">
        <v>1393</v>
      </c>
      <c r="J41" s="5">
        <v>19533</v>
      </c>
      <c r="K41" s="5">
        <v>77057</v>
      </c>
      <c r="L41" s="5">
        <v>4984</v>
      </c>
      <c r="M41" s="5">
        <v>17465</v>
      </c>
      <c r="N41" s="5">
        <v>17585</v>
      </c>
    </row>
    <row r="42" spans="1:14" x14ac:dyDescent="0.35">
      <c r="A42" s="6" t="s">
        <v>37</v>
      </c>
      <c r="B42" s="6"/>
      <c r="C42" s="6"/>
      <c r="D42" s="6"/>
      <c r="E42" s="6"/>
      <c r="F42" s="6"/>
      <c r="G42" s="6"/>
      <c r="H42" s="6"/>
      <c r="I42" s="6"/>
      <c r="J42" s="6"/>
      <c r="K42" s="6"/>
      <c r="L42" s="6"/>
      <c r="M42" s="6"/>
      <c r="N42" s="6"/>
    </row>
    <row r="43" spans="1:14" x14ac:dyDescent="0.35">
      <c r="A43" s="4" t="s">
        <v>24</v>
      </c>
      <c r="B43" s="5">
        <v>43612</v>
      </c>
      <c r="C43" s="5">
        <v>15340</v>
      </c>
      <c r="D43" s="5">
        <v>88</v>
      </c>
      <c r="E43" s="5">
        <v>2758</v>
      </c>
      <c r="F43" s="5">
        <v>622</v>
      </c>
      <c r="G43" s="5">
        <v>449</v>
      </c>
      <c r="H43" s="5">
        <v>184</v>
      </c>
      <c r="I43" s="5">
        <v>1389</v>
      </c>
      <c r="J43" s="5">
        <v>21429</v>
      </c>
      <c r="K43" s="5">
        <v>85871</v>
      </c>
      <c r="L43" s="5">
        <v>5397</v>
      </c>
      <c r="M43" s="5">
        <v>20738</v>
      </c>
      <c r="N43" s="5">
        <v>20825</v>
      </c>
    </row>
    <row r="44" spans="1:14" x14ac:dyDescent="0.35">
      <c r="A44" s="4" t="s">
        <v>25</v>
      </c>
      <c r="B44" s="5">
        <v>39357</v>
      </c>
      <c r="C44" s="5">
        <v>16283</v>
      </c>
      <c r="D44" s="5">
        <v>139</v>
      </c>
      <c r="E44" s="5">
        <v>2527</v>
      </c>
      <c r="F44" s="5">
        <v>577</v>
      </c>
      <c r="G44" s="5">
        <v>417</v>
      </c>
      <c r="H44" s="5">
        <v>170</v>
      </c>
      <c r="I44" s="5">
        <v>1252</v>
      </c>
      <c r="J44" s="5">
        <v>19541</v>
      </c>
      <c r="K44" s="5">
        <v>80263</v>
      </c>
      <c r="L44" s="5">
        <v>5806</v>
      </c>
      <c r="M44" s="5">
        <v>22088</v>
      </c>
      <c r="N44" s="5">
        <v>22227</v>
      </c>
    </row>
    <row r="45" spans="1:14" x14ac:dyDescent="0.35">
      <c r="A45" s="4" t="s">
        <v>26</v>
      </c>
      <c r="B45" s="5">
        <v>50607</v>
      </c>
      <c r="C45" s="5">
        <v>22991</v>
      </c>
      <c r="D45" s="5">
        <v>170</v>
      </c>
      <c r="E45" s="5">
        <v>2691</v>
      </c>
      <c r="F45" s="5">
        <v>634</v>
      </c>
      <c r="G45" s="5">
        <v>432</v>
      </c>
      <c r="H45" s="5">
        <v>183</v>
      </c>
      <c r="I45" s="5">
        <v>1388</v>
      </c>
      <c r="J45" s="5">
        <v>22454</v>
      </c>
      <c r="K45" s="5">
        <v>101549</v>
      </c>
      <c r="L45" s="5">
        <v>7961</v>
      </c>
      <c r="M45" s="5">
        <v>30953</v>
      </c>
      <c r="N45" s="5">
        <v>31123</v>
      </c>
    </row>
    <row r="46" spans="1:14" x14ac:dyDescent="0.35">
      <c r="A46" s="4" t="s">
        <v>27</v>
      </c>
      <c r="B46" s="5">
        <v>45889</v>
      </c>
      <c r="C46" s="5">
        <v>26371</v>
      </c>
      <c r="D46" s="5">
        <v>298</v>
      </c>
      <c r="E46" s="5">
        <v>2289</v>
      </c>
      <c r="F46" s="5">
        <v>574</v>
      </c>
      <c r="G46" s="5">
        <v>428</v>
      </c>
      <c r="H46" s="5">
        <v>176</v>
      </c>
      <c r="I46" s="5">
        <v>1306</v>
      </c>
      <c r="J46" s="5">
        <v>22840</v>
      </c>
      <c r="K46" s="5">
        <v>100171</v>
      </c>
      <c r="L46" s="5">
        <v>8758</v>
      </c>
      <c r="M46" s="5">
        <v>35129</v>
      </c>
      <c r="N46" s="5">
        <v>35428</v>
      </c>
    </row>
    <row r="47" spans="1:14" x14ac:dyDescent="0.35">
      <c r="A47" s="4" t="s">
        <v>28</v>
      </c>
      <c r="B47" s="5">
        <v>36881</v>
      </c>
      <c r="C47" s="5">
        <v>29293</v>
      </c>
      <c r="D47" s="5">
        <v>330</v>
      </c>
      <c r="E47" s="5">
        <v>2588</v>
      </c>
      <c r="F47" s="5">
        <v>600</v>
      </c>
      <c r="G47" s="5">
        <v>433</v>
      </c>
      <c r="H47" s="5">
        <v>165</v>
      </c>
      <c r="I47" s="5">
        <v>1253</v>
      </c>
      <c r="J47" s="5">
        <v>24358</v>
      </c>
      <c r="K47" s="5">
        <v>95902</v>
      </c>
      <c r="L47" s="5">
        <v>9309</v>
      </c>
      <c r="M47" s="5">
        <v>38602</v>
      </c>
      <c r="N47" s="5">
        <v>38932</v>
      </c>
    </row>
    <row r="48" spans="1:14" x14ac:dyDescent="0.35">
      <c r="A48" s="4" t="s">
        <v>29</v>
      </c>
      <c r="B48" s="5">
        <v>35788</v>
      </c>
      <c r="C48" s="5">
        <v>31356</v>
      </c>
      <c r="D48" s="5">
        <v>387</v>
      </c>
      <c r="E48" s="5">
        <v>2700</v>
      </c>
      <c r="F48" s="5">
        <v>616</v>
      </c>
      <c r="G48" s="5">
        <v>435</v>
      </c>
      <c r="H48" s="5">
        <v>155</v>
      </c>
      <c r="I48" s="5">
        <v>1278</v>
      </c>
      <c r="J48" s="5">
        <v>22161</v>
      </c>
      <c r="K48" s="5">
        <v>94876</v>
      </c>
      <c r="L48" s="5">
        <v>9425</v>
      </c>
      <c r="M48" s="5">
        <v>40781</v>
      </c>
      <c r="N48" s="5">
        <v>41168</v>
      </c>
    </row>
    <row r="49" spans="1:14" x14ac:dyDescent="0.35">
      <c r="A49" s="4" t="s">
        <v>30</v>
      </c>
      <c r="B49" s="5">
        <v>31816</v>
      </c>
      <c r="C49" s="5">
        <v>32806</v>
      </c>
      <c r="D49" s="5">
        <v>369</v>
      </c>
      <c r="E49" s="5">
        <v>2902</v>
      </c>
      <c r="F49" s="5">
        <v>611</v>
      </c>
      <c r="G49" s="5">
        <v>461</v>
      </c>
      <c r="H49" s="5">
        <v>159</v>
      </c>
      <c r="I49" s="5">
        <v>1285</v>
      </c>
      <c r="J49" s="5">
        <v>19984</v>
      </c>
      <c r="K49" s="5">
        <v>90393</v>
      </c>
      <c r="L49" s="5">
        <v>9858</v>
      </c>
      <c r="M49" s="5">
        <v>42664</v>
      </c>
      <c r="N49" s="5">
        <v>43032</v>
      </c>
    </row>
    <row r="50" spans="1:14" x14ac:dyDescent="0.35">
      <c r="A50" s="4" t="s">
        <v>31</v>
      </c>
      <c r="B50" s="5">
        <v>27297</v>
      </c>
      <c r="C50" s="5">
        <v>31164</v>
      </c>
      <c r="D50" s="5">
        <v>337</v>
      </c>
      <c r="E50" s="5">
        <v>2835</v>
      </c>
      <c r="F50" s="5">
        <v>579</v>
      </c>
      <c r="G50" s="5">
        <v>464</v>
      </c>
      <c r="H50" s="5">
        <v>156</v>
      </c>
      <c r="I50" s="5">
        <v>1349</v>
      </c>
      <c r="J50" s="5">
        <v>19983</v>
      </c>
      <c r="K50" s="5">
        <v>84164</v>
      </c>
      <c r="L50" s="5">
        <v>9319</v>
      </c>
      <c r="M50" s="5">
        <v>40483</v>
      </c>
      <c r="N50" s="5">
        <v>40820</v>
      </c>
    </row>
    <row r="51" spans="1:14" x14ac:dyDescent="0.35">
      <c r="A51" s="4" t="s">
        <v>32</v>
      </c>
      <c r="B51" s="5">
        <v>25679</v>
      </c>
      <c r="C51" s="5">
        <v>27700</v>
      </c>
      <c r="D51" s="5">
        <v>257</v>
      </c>
      <c r="E51" s="5">
        <v>2726</v>
      </c>
      <c r="F51" s="5">
        <v>561</v>
      </c>
      <c r="G51" s="5">
        <v>426</v>
      </c>
      <c r="H51" s="5">
        <v>150</v>
      </c>
      <c r="I51" s="5">
        <v>1284</v>
      </c>
      <c r="J51" s="5">
        <v>15322</v>
      </c>
      <c r="K51" s="5">
        <v>74103</v>
      </c>
      <c r="L51" s="5">
        <v>8465</v>
      </c>
      <c r="M51" s="5">
        <v>36165</v>
      </c>
      <c r="N51" s="5">
        <v>36422</v>
      </c>
    </row>
    <row r="52" spans="1:14" x14ac:dyDescent="0.35">
      <c r="A52" s="4" t="s">
        <v>33</v>
      </c>
      <c r="B52" s="5">
        <v>39540</v>
      </c>
      <c r="C52" s="5">
        <v>24205</v>
      </c>
      <c r="D52" s="5">
        <v>234</v>
      </c>
      <c r="E52" s="5">
        <v>2463</v>
      </c>
      <c r="F52" s="5">
        <v>563</v>
      </c>
      <c r="G52" s="5">
        <v>429</v>
      </c>
      <c r="H52" s="5">
        <v>170</v>
      </c>
      <c r="I52" s="5">
        <v>1267</v>
      </c>
      <c r="J52" s="5">
        <v>16546</v>
      </c>
      <c r="K52" s="5">
        <v>85417</v>
      </c>
      <c r="L52" s="5">
        <v>7588</v>
      </c>
      <c r="M52" s="5">
        <v>31793</v>
      </c>
      <c r="N52" s="5">
        <v>32027</v>
      </c>
    </row>
    <row r="53" spans="1:14" x14ac:dyDescent="0.35">
      <c r="A53" s="6" t="s">
        <v>38</v>
      </c>
      <c r="B53" s="6"/>
      <c r="C53" s="6"/>
      <c r="D53" s="6"/>
      <c r="E53" s="6"/>
      <c r="F53" s="6"/>
      <c r="G53" s="6"/>
      <c r="H53" s="6"/>
      <c r="I53" s="6"/>
      <c r="J53" s="6"/>
      <c r="K53" s="6"/>
      <c r="L53" s="6"/>
      <c r="M53" s="6"/>
      <c r="N53" s="6"/>
    </row>
    <row r="54" spans="1:14" x14ac:dyDescent="0.35">
      <c r="A54" s="4">
        <v>2023</v>
      </c>
      <c r="B54" s="5">
        <v>346658</v>
      </c>
      <c r="C54" s="5">
        <v>143397</v>
      </c>
      <c r="D54" s="5">
        <v>2575</v>
      </c>
      <c r="E54" s="5">
        <v>26256</v>
      </c>
      <c r="F54" s="5">
        <v>6591</v>
      </c>
      <c r="G54" s="5">
        <v>4600</v>
      </c>
      <c r="H54" s="5">
        <v>1686</v>
      </c>
      <c r="I54" s="5">
        <v>13455</v>
      </c>
      <c r="J54" s="5">
        <v>208949</v>
      </c>
      <c r="K54" s="5">
        <v>754166</v>
      </c>
      <c r="L54" s="5">
        <v>63974</v>
      </c>
      <c r="M54" s="5">
        <v>207371</v>
      </c>
      <c r="N54" s="5">
        <v>209946</v>
      </c>
    </row>
    <row r="55" spans="1:14" x14ac:dyDescent="0.35">
      <c r="A55" s="4">
        <v>2024</v>
      </c>
      <c r="B55" s="5">
        <v>372244</v>
      </c>
      <c r="C55" s="5">
        <v>190529</v>
      </c>
      <c r="D55" s="5">
        <v>2862</v>
      </c>
      <c r="E55" s="5">
        <v>26249</v>
      </c>
      <c r="F55" s="5">
        <v>6176</v>
      </c>
      <c r="G55" s="5">
        <v>4488</v>
      </c>
      <c r="H55" s="5">
        <v>1743</v>
      </c>
      <c r="I55" s="5">
        <v>12696</v>
      </c>
      <c r="J55" s="5">
        <v>206639</v>
      </c>
      <c r="K55" s="5">
        <v>823627</v>
      </c>
      <c r="L55" s="5">
        <v>73541</v>
      </c>
      <c r="M55" s="5">
        <v>264070</v>
      </c>
      <c r="N55" s="5">
        <v>266933</v>
      </c>
    </row>
    <row r="56" spans="1:14" x14ac:dyDescent="0.35">
      <c r="A56" s="4">
        <v>2025</v>
      </c>
      <c r="B56" s="5">
        <v>376465</v>
      </c>
      <c r="C56" s="5">
        <v>257508</v>
      </c>
      <c r="D56" s="5">
        <v>2609</v>
      </c>
      <c r="E56" s="5">
        <v>26479</v>
      </c>
      <c r="F56" s="5">
        <v>5936</v>
      </c>
      <c r="G56" s="5">
        <v>4374</v>
      </c>
      <c r="H56" s="5">
        <v>1670</v>
      </c>
      <c r="I56" s="5">
        <v>13050</v>
      </c>
      <c r="J56" s="5">
        <v>204619</v>
      </c>
      <c r="K56" s="5">
        <v>892708</v>
      </c>
      <c r="L56" s="5">
        <v>81887</v>
      </c>
      <c r="M56" s="5">
        <v>339395</v>
      </c>
      <c r="N56" s="5">
        <v>342004</v>
      </c>
    </row>
    <row r="57" spans="1:14" x14ac:dyDescent="0.35">
      <c r="A57" s="6" t="s">
        <v>39</v>
      </c>
      <c r="B57" s="6"/>
      <c r="C57" s="6"/>
      <c r="D57" s="6"/>
      <c r="E57" s="6"/>
      <c r="F57" s="6"/>
      <c r="G57" s="6"/>
      <c r="H57" s="6"/>
      <c r="I57" s="6"/>
      <c r="J57" s="6"/>
      <c r="K57" s="6"/>
      <c r="L57" s="6"/>
      <c r="M57" s="6"/>
      <c r="N57" s="6"/>
    </row>
    <row r="58" spans="1:14" x14ac:dyDescent="0.35">
      <c r="A58" s="4">
        <v>2024</v>
      </c>
      <c r="B58" s="5">
        <v>446728</v>
      </c>
      <c r="C58" s="5">
        <v>209815</v>
      </c>
      <c r="D58" s="5">
        <v>3135</v>
      </c>
      <c r="E58" s="5">
        <v>31607</v>
      </c>
      <c r="F58" s="5">
        <v>7520</v>
      </c>
      <c r="G58" s="5">
        <v>5456</v>
      </c>
      <c r="H58" s="5">
        <v>2139</v>
      </c>
      <c r="I58" s="5">
        <v>15609</v>
      </c>
      <c r="J58" s="5">
        <v>242693</v>
      </c>
      <c r="K58" s="5">
        <v>964702</v>
      </c>
      <c r="L58" s="5">
        <v>82973</v>
      </c>
      <c r="M58" s="5">
        <v>292788</v>
      </c>
      <c r="N58" s="5">
        <v>295923</v>
      </c>
    </row>
    <row r="59" spans="1:14" x14ac:dyDescent="0.35">
      <c r="A59" s="4">
        <v>2025</v>
      </c>
      <c r="B59" s="5">
        <v>456125</v>
      </c>
      <c r="C59" s="5">
        <v>283694</v>
      </c>
      <c r="D59" s="5">
        <v>2865</v>
      </c>
      <c r="E59" s="5">
        <v>31793</v>
      </c>
      <c r="F59" s="5">
        <v>7101</v>
      </c>
      <c r="G59" s="5">
        <v>5288</v>
      </c>
      <c r="H59" s="5">
        <v>2041</v>
      </c>
      <c r="I59" s="5">
        <v>15761</v>
      </c>
      <c r="J59" s="5">
        <v>240875</v>
      </c>
      <c r="K59" s="5">
        <v>1045544</v>
      </c>
      <c r="L59" s="5">
        <v>92264</v>
      </c>
      <c r="M59" s="5">
        <v>375958</v>
      </c>
      <c r="N59" s="5">
        <v>378824</v>
      </c>
    </row>
    <row r="60" spans="1:14" x14ac:dyDescent="0.35">
      <c r="A60" s="7" t="s">
        <v>53</v>
      </c>
      <c r="B60" s="7"/>
      <c r="C60" s="7"/>
      <c r="D60" s="7"/>
      <c r="E60" s="7"/>
      <c r="F60" s="7"/>
      <c r="G60" s="7"/>
      <c r="H60" s="7"/>
      <c r="I60" s="7"/>
      <c r="J60" s="7"/>
      <c r="K60" s="7"/>
      <c r="L60" s="7"/>
      <c r="M60" s="7"/>
      <c r="N60" s="7"/>
    </row>
  </sheetData>
  <mergeCells count="11">
    <mergeCell ref="A29:N29"/>
    <mergeCell ref="A42:N42"/>
    <mergeCell ref="A53:N53"/>
    <mergeCell ref="A57:N57"/>
    <mergeCell ref="A60:N60"/>
    <mergeCell ref="A1:N1"/>
    <mergeCell ref="A2:N2"/>
    <mergeCell ref="B3:K3"/>
    <mergeCell ref="M3:N3"/>
    <mergeCell ref="A5:N5"/>
    <mergeCell ref="A16:N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4CCC-1AE6-4705-9371-525FF89CDB48}">
  <dimension ref="A1:AF4"/>
  <sheetViews>
    <sheetView tabSelected="1" topLeftCell="M1" workbookViewId="0">
      <selection activeCell="S37" sqref="S37"/>
    </sheetView>
  </sheetViews>
  <sheetFormatPr defaultRowHeight="14.5" x14ac:dyDescent="0.35"/>
  <cols>
    <col min="1" max="1" width="8.90625" bestFit="1" customWidth="1"/>
    <col min="2" max="2" width="8.81640625" customWidth="1"/>
    <col min="3" max="3" width="10.36328125" bestFit="1" customWidth="1"/>
    <col min="4" max="4" width="9.36328125" bestFit="1" customWidth="1"/>
    <col min="5" max="5" width="8.90625" bestFit="1" customWidth="1"/>
    <col min="6" max="6" width="11.36328125" bestFit="1" customWidth="1"/>
    <col min="7" max="7" width="9.36328125" bestFit="1" customWidth="1"/>
    <col min="8" max="11" width="10.36328125" bestFit="1" customWidth="1"/>
    <col min="12" max="12" width="9" bestFit="1" customWidth="1"/>
    <col min="13" max="13" width="8.90625" bestFit="1" customWidth="1"/>
    <col min="14" max="14" width="11.36328125" bestFit="1" customWidth="1"/>
    <col min="15" max="15" width="9.36328125" bestFit="1" customWidth="1"/>
    <col min="16" max="19" width="10.36328125" bestFit="1" customWidth="1"/>
    <col min="20" max="20" width="8.90625" bestFit="1" customWidth="1"/>
    <col min="21" max="21" width="9.36328125" bestFit="1" customWidth="1"/>
    <col min="22" max="24" width="8.90625" bestFit="1" customWidth="1"/>
    <col min="25" max="25" width="9.36328125" bestFit="1" customWidth="1"/>
    <col min="26" max="27" width="10.36328125" bestFit="1" customWidth="1"/>
    <col min="28" max="28" width="9.36328125" bestFit="1" customWidth="1"/>
    <col min="29" max="30" width="10.36328125" bestFit="1" customWidth="1"/>
    <col min="31" max="31" width="9.36328125" bestFit="1" customWidth="1"/>
    <col min="32" max="32" width="11.36328125" bestFit="1" customWidth="1"/>
  </cols>
  <sheetData>
    <row r="1" spans="1:32" s="13" customFormat="1" ht="101.5" x14ac:dyDescent="0.35">
      <c r="A1" s="13" t="s">
        <v>2</v>
      </c>
      <c r="C1" s="13" t="s">
        <v>3</v>
      </c>
      <c r="O1" s="13" t="s">
        <v>4</v>
      </c>
      <c r="P1" s="13" t="s">
        <v>5</v>
      </c>
      <c r="R1" s="13" t="s">
        <v>3</v>
      </c>
      <c r="AB1" s="13" t="s">
        <v>4</v>
      </c>
      <c r="AC1" s="13" t="s">
        <v>42</v>
      </c>
    </row>
    <row r="2" spans="1:32" s="12" customFormat="1" ht="101.5" x14ac:dyDescent="0.35">
      <c r="A2" s="12" t="s">
        <v>6</v>
      </c>
      <c r="B2" s="12" t="s">
        <v>56</v>
      </c>
      <c r="C2" s="12" t="s">
        <v>7</v>
      </c>
      <c r="D2" s="12" t="s">
        <v>8</v>
      </c>
      <c r="E2" s="12" t="s">
        <v>9</v>
      </c>
      <c r="F2" s="12" t="s">
        <v>58</v>
      </c>
      <c r="G2" s="12" t="s">
        <v>59</v>
      </c>
      <c r="H2" s="12" t="s">
        <v>12</v>
      </c>
      <c r="I2" s="12" t="s">
        <v>13</v>
      </c>
      <c r="J2" s="12" t="s">
        <v>14</v>
      </c>
      <c r="K2" s="12" t="s">
        <v>15</v>
      </c>
      <c r="L2" s="12" t="s">
        <v>16</v>
      </c>
      <c r="M2" s="12" t="s">
        <v>17</v>
      </c>
      <c r="N2" s="12" t="s">
        <v>18</v>
      </c>
      <c r="O2" s="12" t="s">
        <v>19</v>
      </c>
      <c r="P2" s="12" t="s">
        <v>20</v>
      </c>
      <c r="Q2" s="12" t="s">
        <v>21</v>
      </c>
      <c r="R2" s="12" t="s">
        <v>43</v>
      </c>
      <c r="S2" s="12" t="s">
        <v>44</v>
      </c>
      <c r="T2" s="12" t="s">
        <v>45</v>
      </c>
      <c r="U2" s="12" t="s">
        <v>46</v>
      </c>
      <c r="V2" s="12" t="s">
        <v>47</v>
      </c>
      <c r="W2" s="12" t="s">
        <v>48</v>
      </c>
      <c r="X2" s="12" t="s">
        <v>49</v>
      </c>
      <c r="Y2" s="12" t="s">
        <v>50</v>
      </c>
      <c r="Z2" s="12" t="s">
        <v>57</v>
      </c>
      <c r="AA2" s="12" t="s">
        <v>52</v>
      </c>
      <c r="AB2" s="12" t="s">
        <v>19</v>
      </c>
      <c r="AC2" s="12" t="s">
        <v>20</v>
      </c>
      <c r="AD2" s="12" t="s">
        <v>14</v>
      </c>
      <c r="AE2" s="12" t="s">
        <v>55</v>
      </c>
      <c r="AF2" s="12" t="s">
        <v>60</v>
      </c>
    </row>
    <row r="3" spans="1:32" s="14" customFormat="1" x14ac:dyDescent="0.35">
      <c r="A3" s="14">
        <v>2024</v>
      </c>
      <c r="B3" s="14">
        <f>SUM(D3,E3)</f>
        <v>15085</v>
      </c>
      <c r="C3" s="14">
        <v>652156</v>
      </c>
      <c r="D3" s="14">
        <v>11456</v>
      </c>
      <c r="E3" s="14">
        <v>3629</v>
      </c>
      <c r="F3" s="14">
        <v>1869902</v>
      </c>
      <c r="G3" s="14">
        <v>10845</v>
      </c>
      <c r="H3" s="14">
        <v>781865</v>
      </c>
      <c r="I3" s="14">
        <v>242896</v>
      </c>
      <c r="J3" s="14">
        <v>219834</v>
      </c>
      <c r="K3" s="14">
        <v>513733</v>
      </c>
      <c r="L3" s="14">
        <v>-5852</v>
      </c>
      <c r="M3" s="14">
        <v>8170</v>
      </c>
      <c r="N3" s="14">
        <v>4308634</v>
      </c>
      <c r="O3" s="14">
        <v>83918</v>
      </c>
      <c r="P3" s="14">
        <v>300634</v>
      </c>
      <c r="Q3" s="14">
        <v>303752</v>
      </c>
      <c r="R3" s="14">
        <v>451904</v>
      </c>
      <c r="S3" s="14">
        <v>216715</v>
      </c>
      <c r="T3" s="14">
        <v>3118</v>
      </c>
      <c r="U3" s="14">
        <v>31564</v>
      </c>
      <c r="V3" s="14">
        <v>7341</v>
      </c>
      <c r="W3" s="14">
        <v>5402</v>
      </c>
      <c r="X3" s="14">
        <v>2115</v>
      </c>
      <c r="Y3" s="14">
        <v>15407</v>
      </c>
      <c r="Z3" s="14">
        <v>242896</v>
      </c>
      <c r="AA3" s="14">
        <v>976463</v>
      </c>
      <c r="AB3" s="14">
        <v>83918</v>
      </c>
      <c r="AC3" s="14">
        <v>300634</v>
      </c>
      <c r="AD3" s="14">
        <v>303752</v>
      </c>
      <c r="AE3" s="14">
        <f>SUM(U3,V3,W3,X3)</f>
        <v>46422</v>
      </c>
      <c r="AF3" s="14">
        <f>SUM(AA3,AB3)</f>
        <v>1060381</v>
      </c>
    </row>
    <row r="4" spans="1:32" x14ac:dyDescent="0.35">
      <c r="R4" s="14">
        <f>R3/AF3*100</f>
        <v>42.617134784572713</v>
      </c>
      <c r="S4" s="14">
        <f>S3/AF3*100</f>
        <v>20.437465401586788</v>
      </c>
      <c r="T4" s="14">
        <f>T3/AF3*100</f>
        <v>0.29404525354565952</v>
      </c>
      <c r="U4" s="14">
        <f>U3/AF3*100</f>
        <v>2.9766659342255286</v>
      </c>
      <c r="V4" s="14">
        <f>V3/AF3*100</f>
        <v>0.69229833427796239</v>
      </c>
      <c r="W4" s="14">
        <f>W3/AF3*100</f>
        <v>0.50943953164004252</v>
      </c>
      <c r="X4" s="14">
        <f>X3/AF3*100</f>
        <v>0.19945661040701407</v>
      </c>
      <c r="Y4" s="14">
        <f>Y3/AF3*100</f>
        <v>1.4529683198774779</v>
      </c>
      <c r="Z4" s="14">
        <f>Z3/AF3*100</f>
        <v>22.906483612965527</v>
      </c>
      <c r="AA4" s="14">
        <f>AA3/AA3*100</f>
        <v>100</v>
      </c>
      <c r="AB4" s="14">
        <f>AB3/AA3*100</f>
        <v>8.594078833504188</v>
      </c>
      <c r="AC4" s="14">
        <f>AC3/AA3*100</f>
        <v>30.788058533707886</v>
      </c>
      <c r="AD4" s="14">
        <f>AD3/AF3*100</f>
        <v>28.645552872033729</v>
      </c>
      <c r="AE4" s="14">
        <f>AE3/AF3*100</f>
        <v>4.3778604105505474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Table_1_01</vt:lpstr>
      <vt:lpstr>Sheet1</vt:lpstr>
      <vt:lpstr>Sheet2</vt:lpstr>
      <vt:lpstr>Table_1_01!Print_Titles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Rebello de Sousa Dias, Mariama</dc:creator>
  <cp:lastModifiedBy>Rebello de Sousa Dias, Mariama</cp:lastModifiedBy>
  <dcterms:created xsi:type="dcterms:W3CDTF">2025-12-18T13:36:21Z</dcterms:created>
  <dcterms:modified xsi:type="dcterms:W3CDTF">2026-01-06T19:28:07Z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{BD3AD726-EFC0-4D18-8FA9-027023ACF360}</vt:lpwstr>
  </property>
</Properties>
</file>